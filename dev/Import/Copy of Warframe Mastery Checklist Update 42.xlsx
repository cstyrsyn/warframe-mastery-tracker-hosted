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irradiate-my.sharepoint.com/personal/callum_irradiate_com_au/Documents/Documents/Dev/WF_TRACK_V2/Import/"/>
    </mc:Choice>
  </mc:AlternateContent>
  <xr:revisionPtr revIDLastSave="0" documentId="8_{4DD41514-45B3-4A21-86DD-521636146073}" xr6:coauthVersionLast="47" xr6:coauthVersionMax="47" xr10:uidLastSave="{00000000-0000-0000-0000-000000000000}"/>
  <bookViews>
    <workbookView xWindow="-90" yWindow="0" windowWidth="6870" windowHeight="11370" firstSheet="2" activeTab="2" xr2:uid="{00000000-000D-0000-FFFF-FFFF00000000}"/>
  </bookViews>
  <sheets>
    <sheet name="Main + Info" sheetId="1" r:id="rId1"/>
    <sheet name="Warframe" sheetId="2" r:id="rId2"/>
    <sheet name="Primary" sheetId="3" r:id="rId3"/>
    <sheet name="Secondary" sheetId="4" r:id="rId4"/>
    <sheet name="Melee" sheetId="5" r:id="rId5"/>
    <sheet name="Companion" sheetId="6" r:id="rId6"/>
    <sheet name="Vehicle" sheetId="7" r:id="rId7"/>
    <sheet name="AmpDrifter" sheetId="8" r:id="rId8"/>
  </sheets>
  <definedNames>
    <definedName name="WF">Warframe!$J$53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8" l="1"/>
  <c r="I4" i="8"/>
  <c r="I3" i="8"/>
  <c r="O26" i="1" s="1"/>
  <c r="H3" i="8"/>
  <c r="L26" i="1" s="1"/>
  <c r="G3" i="8"/>
  <c r="I19" i="7"/>
  <c r="L29" i="1" s="1"/>
  <c r="I18" i="7"/>
  <c r="I17" i="7"/>
  <c r="I16" i="7"/>
  <c r="H16" i="7"/>
  <c r="I15" i="7"/>
  <c r="I14" i="7"/>
  <c r="H14" i="7"/>
  <c r="G14" i="7"/>
  <c r="I13" i="7"/>
  <c r="I12" i="7"/>
  <c r="O25" i="1" s="1"/>
  <c r="H12" i="7"/>
  <c r="L25" i="1" s="1"/>
  <c r="G12" i="7"/>
  <c r="I11" i="7"/>
  <c r="I10" i="7"/>
  <c r="I8" i="7"/>
  <c r="H8" i="7"/>
  <c r="I7" i="7"/>
  <c r="I9" i="7" s="1"/>
  <c r="O24" i="1" s="1"/>
  <c r="H7" i="7"/>
  <c r="H9" i="7" s="1"/>
  <c r="L24" i="1" s="1"/>
  <c r="G7" i="7"/>
  <c r="I6" i="7"/>
  <c r="I4" i="7"/>
  <c r="H4" i="7"/>
  <c r="G4" i="7"/>
  <c r="I3" i="7"/>
  <c r="I5" i="7" s="1"/>
  <c r="O23" i="1" s="1"/>
  <c r="H3" i="7"/>
  <c r="H5" i="7" s="1"/>
  <c r="L23" i="1" s="1"/>
  <c r="G3" i="7"/>
  <c r="N18" i="6"/>
  <c r="M18" i="6"/>
  <c r="N16" i="6"/>
  <c r="M16" i="6"/>
  <c r="N15" i="6"/>
  <c r="M15" i="6"/>
  <c r="N14" i="6"/>
  <c r="M14" i="6"/>
  <c r="N13" i="6"/>
  <c r="M13" i="6"/>
  <c r="N12" i="6"/>
  <c r="M12" i="6"/>
  <c r="L12" i="6"/>
  <c r="N11" i="6"/>
  <c r="N17" i="6" s="1"/>
  <c r="O22" i="1" s="1"/>
  <c r="M11" i="6"/>
  <c r="M17" i="6" s="1"/>
  <c r="L22" i="1" s="1"/>
  <c r="L11" i="6"/>
  <c r="N10" i="6"/>
  <c r="M10" i="6"/>
  <c r="N8" i="6"/>
  <c r="M8" i="6"/>
  <c r="L8" i="6"/>
  <c r="N7" i="6"/>
  <c r="N9" i="6" s="1"/>
  <c r="M7" i="6"/>
  <c r="M9" i="6" s="1"/>
  <c r="L7" i="6"/>
  <c r="N6" i="6"/>
  <c r="M6" i="6"/>
  <c r="N4" i="6"/>
  <c r="M4" i="6"/>
  <c r="L4" i="6"/>
  <c r="N3" i="6"/>
  <c r="N5" i="6" s="1"/>
  <c r="O21" i="1" s="1"/>
  <c r="M3" i="6"/>
  <c r="M5" i="6" s="1"/>
  <c r="L21" i="1" s="1"/>
  <c r="L3" i="6"/>
  <c r="X32" i="5"/>
  <c r="X31" i="5"/>
  <c r="X30" i="5"/>
  <c r="X28" i="5"/>
  <c r="W28" i="5"/>
  <c r="X27" i="5"/>
  <c r="W27" i="5"/>
  <c r="X26" i="5"/>
  <c r="W26" i="5"/>
  <c r="X25" i="5"/>
  <c r="W25" i="5"/>
  <c r="V25" i="5"/>
  <c r="X24" i="5"/>
  <c r="W24" i="5"/>
  <c r="X23" i="5"/>
  <c r="W23" i="5"/>
  <c r="V23" i="5"/>
  <c r="X22" i="5"/>
  <c r="W22" i="5"/>
  <c r="V22" i="5"/>
  <c r="X21" i="5"/>
  <c r="W21" i="5"/>
  <c r="V21" i="5"/>
  <c r="X20" i="5"/>
  <c r="W20" i="5"/>
  <c r="V20" i="5"/>
  <c r="X19" i="5"/>
  <c r="W19" i="5"/>
  <c r="V19" i="5"/>
  <c r="X18" i="5"/>
  <c r="W18" i="5"/>
  <c r="V18" i="5"/>
  <c r="X17" i="5"/>
  <c r="W17" i="5"/>
  <c r="V17" i="5"/>
  <c r="X16" i="5"/>
  <c r="W16" i="5"/>
  <c r="V16" i="5"/>
  <c r="X15" i="5"/>
  <c r="W15" i="5"/>
  <c r="V15" i="5"/>
  <c r="X14" i="5"/>
  <c r="W14" i="5"/>
  <c r="V14" i="5"/>
  <c r="X13" i="5"/>
  <c r="W13" i="5"/>
  <c r="V13" i="5"/>
  <c r="X12" i="5"/>
  <c r="W12" i="5"/>
  <c r="V12" i="5"/>
  <c r="X11" i="5"/>
  <c r="W11" i="5"/>
  <c r="V11" i="5"/>
  <c r="X10" i="5"/>
  <c r="W10" i="5"/>
  <c r="V10" i="5"/>
  <c r="X9" i="5"/>
  <c r="W9" i="5"/>
  <c r="V9" i="5"/>
  <c r="X8" i="5"/>
  <c r="W8" i="5"/>
  <c r="V8" i="5"/>
  <c r="X7" i="5"/>
  <c r="W7" i="5"/>
  <c r="V7" i="5"/>
  <c r="X6" i="5"/>
  <c r="W6" i="5"/>
  <c r="V6" i="5"/>
  <c r="X5" i="5"/>
  <c r="W5" i="5"/>
  <c r="V5" i="5"/>
  <c r="X4" i="5"/>
  <c r="W4" i="5"/>
  <c r="V4" i="5"/>
  <c r="X3" i="5"/>
  <c r="W3" i="5"/>
  <c r="V3" i="5"/>
  <c r="T15" i="4"/>
  <c r="T14" i="4"/>
  <c r="T13" i="4"/>
  <c r="T11" i="4"/>
  <c r="S11" i="4"/>
  <c r="T10" i="4"/>
  <c r="S10" i="4"/>
  <c r="T9" i="4"/>
  <c r="S9" i="4"/>
  <c r="T8" i="4"/>
  <c r="S8" i="4"/>
  <c r="T7" i="4"/>
  <c r="S7" i="4"/>
  <c r="T6" i="4"/>
  <c r="S6" i="4"/>
  <c r="T5" i="4"/>
  <c r="S5" i="4"/>
  <c r="T4" i="4"/>
  <c r="S4" i="4"/>
  <c r="T3" i="4"/>
  <c r="T12" i="4" s="1"/>
  <c r="O19" i="1" s="1"/>
  <c r="S3" i="4"/>
  <c r="S12" i="4" s="1"/>
  <c r="L19" i="1" s="1"/>
  <c r="G83" i="3"/>
  <c r="G81" i="3"/>
  <c r="G79" i="3"/>
  <c r="S18" i="3"/>
  <c r="S17" i="3"/>
  <c r="S16" i="3"/>
  <c r="S14" i="3"/>
  <c r="R14" i="3"/>
  <c r="S13" i="3"/>
  <c r="R13" i="3"/>
  <c r="S12" i="3"/>
  <c r="R12" i="3"/>
  <c r="S11" i="3"/>
  <c r="R11" i="3"/>
  <c r="S10" i="3"/>
  <c r="R10" i="3"/>
  <c r="S9" i="3"/>
  <c r="R9" i="3"/>
  <c r="S8" i="3"/>
  <c r="R8" i="3"/>
  <c r="S7" i="3"/>
  <c r="R7" i="3"/>
  <c r="S6" i="3"/>
  <c r="R6" i="3"/>
  <c r="S5" i="3"/>
  <c r="R5" i="3"/>
  <c r="S4" i="3"/>
  <c r="R4" i="3"/>
  <c r="S3" i="3"/>
  <c r="R3" i="3"/>
  <c r="O7" i="2"/>
  <c r="O5" i="2"/>
  <c r="N5" i="2"/>
  <c r="O4" i="2"/>
  <c r="N4" i="2"/>
  <c r="O3" i="2"/>
  <c r="O6" i="2" s="1"/>
  <c r="N3" i="2"/>
  <c r="N6" i="2" s="1"/>
  <c r="D45" i="1"/>
  <c r="D44" i="1"/>
  <c r="E37" i="1"/>
  <c r="D37" i="1"/>
  <c r="L30" i="1"/>
  <c r="I30" i="1"/>
  <c r="H30" i="1"/>
  <c r="W29" i="5" l="1"/>
  <c r="L20" i="1" s="1"/>
  <c r="X29" i="5"/>
  <c r="O20" i="1" s="1"/>
  <c r="R15" i="3"/>
  <c r="L18" i="1" s="1"/>
  <c r="S15" i="3"/>
  <c r="O18" i="1" s="1"/>
  <c r="O17" i="1"/>
  <c r="O27" i="1"/>
  <c r="O29" i="1"/>
  <c r="L17" i="1"/>
  <c r="L27" i="1"/>
  <c r="O3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32" authorId="0" shapeId="0" xr:uid="{00000000-0006-0000-0000-000001000000}">
      <text>
        <r>
          <rPr>
            <sz val="10"/>
            <color rgb="FF000000"/>
            <rFont val="Arial"/>
          </rPr>
          <t>Enter your Solar Map XP from Profile&gt;Stats here for a more accurate Mastery Total.
If you do use this, DO NOT use the Planet/Junction Checklists.</t>
        </r>
      </text>
    </comment>
    <comment ref="B37" authorId="0" shapeId="0" xr:uid="{00000000-0006-0000-0000-000002000000}">
      <text>
        <r>
          <rPr>
            <sz val="10"/>
            <color rgb="FF000000"/>
            <rFont val="Arial"/>
          </rPr>
          <t>This is based off the average mastery per node, so it may be off by quite a bit. The total is correct though, so if you've completed the Solar Map, feel free to use this.</t>
        </r>
      </text>
    </comment>
    <comment ref="B39" authorId="0" shapeId="0" xr:uid="{00000000-0006-0000-0000-000003000000}">
      <text>
        <r>
          <rPr>
            <sz val="10"/>
            <color rgb="FF000000"/>
            <rFont val="Arial"/>
          </rPr>
          <t>These items are Permanently Vaulted.
They were originally available for those who purchased a Founder's Pack during the early days of Warframe.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100-000001000000}">
      <text>
        <r>
          <rPr>
            <sz val="10"/>
            <color rgb="FF000000"/>
            <rFont val="Arial"/>
          </rPr>
          <t>Ash's component blueprints are obtained from Venus Proxima (Systems), Neptune Proxima (Neuroptics), and Pluto Proxima (Chassis) Survival, Defense, Exterminate, and Volatile missions.</t>
        </r>
      </text>
    </comment>
    <comment ref="F4" authorId="0" shapeId="0" xr:uid="{00000000-0006-0000-0100-000002000000}">
      <text>
        <r>
          <rPr>
            <sz val="10"/>
            <color rgb="FF000000"/>
            <rFont val="Arial"/>
          </rPr>
          <t>Atlas blueprint is obtained after finishing The Jordas Precept.
Other pieces are obtained from running the Jordas Golem Archwing Assassination on Eris (node unlocked after finishing The Jordas Precept)</t>
        </r>
      </text>
    </comment>
    <comment ref="F6" authorId="0" shapeId="0" xr:uid="{00000000-0006-0000-0100-000003000000}">
      <text>
        <r>
          <rPr>
            <sz val="10"/>
            <color rgb="FF000000"/>
            <rFont val="Arial"/>
          </rPr>
          <t>- Blueprint: Rank 2: Agent
- Neuroptics: Rank 3: Hand
- Chassis: Rank 3: Hand
- Systems: Rank 3: Hand</t>
        </r>
      </text>
    </comment>
    <comment ref="F8" authorId="0" shapeId="0" xr:uid="{00000000-0006-0000-0100-000004000000}">
      <text>
        <r>
          <rPr>
            <sz val="10"/>
            <color rgb="FF000000"/>
            <rFont val="Arial"/>
          </rPr>
          <t>Chroma's blueprint is obtained after finishing The New Strange.
Component blueprints are obtained from completing junctions:
- Neuroptics: Uranus Junction
- Chassis: Neptune Junction
- Systems: Pluto Junction</t>
        </r>
      </text>
    </comment>
    <comment ref="F9" authorId="0" shapeId="0" xr:uid="{00000000-0006-0000-0100-000005000000}">
      <text>
        <r>
          <rPr>
            <sz val="10"/>
            <color rgb="FF000000"/>
            <rFont val="Arial"/>
          </rPr>
          <t>Rotation C Only
Alternatively they can be purchased from Otak in the Necralisk, Deimos with  Belric Crystal Fragment and  Rania Crystal Fragment, awarded from Mirror Defense</t>
        </r>
      </text>
    </comment>
    <comment ref="F10" authorId="0" shapeId="0" xr:uid="{00000000-0006-0000-0100-000006000000}">
      <text>
        <r>
          <rPr>
            <sz val="10"/>
            <color rgb="FF000000"/>
            <rFont val="Arial"/>
          </rPr>
          <t xml:space="preserve">Cyte-09's blueprint is obtained after finishing The Hex.
His component blueprints are acquired from Höllvania Central Mall Bounties as an uncommon drop.
</t>
        </r>
      </text>
    </comment>
    <comment ref="F12" authorId="0" shapeId="0" xr:uid="{00000000-0006-0000-0100-000007000000}">
      <text>
        <r>
          <rPr>
            <sz val="10"/>
            <color rgb="FF000000"/>
            <rFont val="Arial"/>
          </rPr>
          <t>Alternatively they be purchased from Loid in Sanctum Anatomica with  Vessel Capillaries, which are dropped by the Disruption's Demolishers in this same mission</t>
        </r>
      </text>
    </comment>
    <comment ref="F14" authorId="0" shapeId="0" xr:uid="{00000000-0006-0000-0100-000008000000}">
      <text>
        <r>
          <rPr>
            <sz val="10"/>
            <color rgb="FF000000"/>
            <rFont val="Arial"/>
          </rPr>
          <t>8 blueprints to drop from the boss: Night and Day aspects must be crafted before being able to craft Equinox itself
Boss always drops 1 Night and 1 day blueprint component</t>
        </r>
      </text>
    </comment>
    <comment ref="F16" authorId="0" shapeId="0" xr:uid="{00000000-0006-0000-0100-000009000000}">
      <text>
        <r>
          <rPr>
            <sz val="10"/>
            <color rgb="FF000000"/>
            <rFont val="Arial"/>
          </rPr>
          <t>Rotation A
Alternatively they can be purchased from Aspirant Zorba in any relay with  Atramentum, awarded from Follie's Hunt in quantities of 5 (10 on The Steel Path) and as a random drop from enemies and Atramentum Balloons within the mission. Each component blueprint requires 400 and the main blueprint requires 1200, totaling 2400 Atramentum for the whole set.</t>
        </r>
      </text>
    </comment>
    <comment ref="F18" authorId="0" shapeId="0" xr:uid="{00000000-0006-0000-0100-00000A000000}">
      <text>
        <r>
          <rPr>
            <sz val="10"/>
            <color rgb="FF000000"/>
            <rFont val="Arial"/>
          </rPr>
          <t>Gara's blueprint is obtained after finishing Saya's Vigil.
Component blueprints are obtained from Cetus Bounties:
- Neuroptics: Bounty lvl 20-40
- Chassis: Bounty lvl 5-15
- Systems: Bounty lvl 10-30</t>
        </r>
      </text>
    </comment>
    <comment ref="F19" authorId="0" shapeId="0" xr:uid="{00000000-0006-0000-0100-00000B000000}">
      <text>
        <r>
          <rPr>
            <sz val="10"/>
            <color rgb="FF000000"/>
            <rFont val="Arial"/>
          </rPr>
          <t>Garuda's blueprint is obtained after finishing Vox Solaris.
Component blueprints are obtained from Fortuna Bounties:
- Neuroptics: Bounty lvl 20-40
- Chassis: Bounty lvl 5-15
- Systems: Bounty lvl 10-30</t>
        </r>
      </text>
    </comment>
    <comment ref="F20" authorId="0" shapeId="0" xr:uid="{00000000-0006-0000-0100-00000C000000}">
      <text>
        <r>
          <rPr>
            <sz val="10"/>
            <color rgb="FF000000"/>
            <rFont val="Arial"/>
          </rPr>
          <t xml:space="preserve">All the parts are on rotation C.
</t>
        </r>
      </text>
    </comment>
    <comment ref="F21" authorId="0" shapeId="0" xr:uid="{00000000-0006-0000-0100-00000D000000}">
      <text>
        <r>
          <rPr>
            <sz val="10"/>
            <color rgb="FF000000"/>
            <rFont val="Arial"/>
          </rPr>
          <t xml:space="preserve">Need locators sold by Arbitration vendors to unlock specific missions in Europa.
Each locators cost 25 vitus essence.
Neuroptics : Archeo-freighter, survival
Chassis : Icefields of Riddah, defense
Systems : Mine of Karrish, Excavation
</t>
        </r>
      </text>
    </comment>
    <comment ref="F22" authorId="0" shapeId="0" xr:uid="{00000000-0006-0000-0100-00000E000000}">
      <text>
        <r>
          <rPr>
            <sz val="10"/>
            <color rgb="FF000000"/>
            <rFont val="Arial"/>
          </rPr>
          <t>Systems lvl 70-75
Chassis  lvl 60-65
neuroptics lvl 50-55
blueprint lvl 90-95</t>
        </r>
      </text>
    </comment>
    <comment ref="F23" authorId="0" shapeId="0" xr:uid="{00000000-0006-0000-0100-00000F000000}">
      <text>
        <r>
          <rPr>
            <sz val="10"/>
            <color rgb="FF000000"/>
            <rFont val="Arial"/>
          </rPr>
          <t>Harrow's blueprint is obtained after finishing Chains of Harrow.
Component blueprints are obtained from the following:
- Neuroptics: Pago, Kuva Fortress (All Vaults)
- Chassis: Dropped by Corrupted Enemies (Fissures Only)
- Systems: Tier 2&amp;3 Defection (Rotation C)</t>
        </r>
      </text>
    </comment>
    <comment ref="F24" authorId="0" shapeId="0" xr:uid="{00000000-0006-0000-0100-000010000000}">
      <text>
        <r>
          <rPr>
            <sz val="10"/>
            <color rgb="FF000000"/>
            <rFont val="Arial"/>
          </rPr>
          <t>- Blueprint: Rank 5: Shadow
- Neuroptics: Drop: Exploiter Orb
- Chassis: Drop: Exploiter Orb
- Systems: Drop: Exploiter Orb
All blueprints need Lazulite Toroids to craft, rendering the Exploiter Orb mandatory</t>
        </r>
      </text>
    </comment>
    <comment ref="F26" authorId="0" shapeId="0" xr:uid="{00000000-0006-0000-0100-000011000000}">
      <text>
        <r>
          <rPr>
            <sz val="10"/>
            <color rgb="FF000000"/>
            <rFont val="Arial"/>
          </rPr>
          <t>Sands of Inaros can be started by buying the blueprint from Baro Ki'Teer.
Inaros' blueprint and all component blueprints are obtained as the quest progresses.</t>
        </r>
      </text>
    </comment>
    <comment ref="F27" authorId="0" shapeId="0" xr:uid="{00000000-0006-0000-0100-000012000000}">
      <text>
        <r>
          <rPr>
            <sz val="10"/>
            <color rgb="FF000000"/>
            <rFont val="Arial"/>
          </rPr>
          <t>Main blueprint available for purchase in the Market (for Credits)
Neuroptics: Tier 3 Spy
Chassis: Tier 2 Spy
Systems: Tier 1 Spy
All parts blueprints have now a 22,56% drop chance
Raised to 36% in Railjack Spy missions</t>
        </r>
      </text>
    </comment>
    <comment ref="F28" authorId="0" shapeId="0" xr:uid="{00000000-0006-0000-0100-000013000000}">
      <text>
        <r>
          <rPr>
            <sz val="10"/>
            <color rgb="FF000000"/>
            <rFont val="Arial"/>
          </rPr>
          <t>Jade's blueprint is obtained after finishing Jade Shadows.
Her component blueprints are obtained from Ascension on Brutus, Uranus, at a 5% drop rate.
Alternatively, the blueprints can also be purchased from Ordis in the Drifter's Camp with  Vestigial Motes, awarded from Ascension</t>
        </r>
      </text>
    </comment>
    <comment ref="F29" authorId="0" shapeId="0" xr:uid="{00000000-0006-0000-0100-000014000000}">
      <text>
        <r>
          <rPr>
            <sz val="10"/>
            <color rgb="FF000000"/>
            <rFont val="Arial"/>
          </rPr>
          <t>Venari gives separate mastery and is located in the Companions sheet.
Main Blueprint available in the Market for Credits.
Components blueprints are a reward in all 3 rotations (A, B &amp; C)</t>
        </r>
      </text>
    </comment>
    <comment ref="F30" authorId="0" shapeId="0" xr:uid="{00000000-0006-0000-0100-000015000000}">
      <text>
        <r>
          <rPr>
            <sz val="10"/>
            <color rgb="FF000000"/>
            <rFont val="Arial"/>
          </rPr>
          <t>Koumei's main and component blueprints can be obtained from Shrine Defense on Saya's Visions, Earth. Access requires completion of Saya's Vigil and Once Awake.
Alternatively they can be purchased from Koumei's Shrine in Cetus with  Fate Pearls, which are dropped by the Infested Oni at the end of Shrine Defense</t>
        </r>
      </text>
    </comment>
    <comment ref="F31" authorId="0" shapeId="0" xr:uid="{00000000-0006-0000-0100-000016000000}">
      <text>
        <r>
          <rPr>
            <sz val="10"/>
            <color rgb="FF000000"/>
            <rFont val="Arial"/>
          </rPr>
          <t>Must finish the loop by beating the Orowyrm
Kullervo's main and component blueprints are purchased from Acrithis in the Dormizone for  Kullervo's Bane; the main blueprint requires 15 Banes, while the parts require 9, to a total of 42 Kullervo's Banes.</t>
        </r>
      </text>
    </comment>
    <comment ref="F32" authorId="0" shapeId="0" xr:uid="{00000000-0006-0000-0100-000017000000}">
      <text>
        <r>
          <rPr>
            <sz val="10"/>
            <color rgb="FF000000"/>
            <rFont val="Arial"/>
          </rPr>
          <t>Lavos's main and component blueprints are available from Father with Entrati standing. The main blueprint requires players to be at Rank 2 - Acquaintance, while component blueprints require Rank 3 - Associate. Each blueprint costs  5,000 Standing, totaling to  20,000.</t>
        </r>
      </text>
    </comment>
    <comment ref="F33" authorId="0" shapeId="0" xr:uid="{00000000-0006-0000-0100-000018000000}">
      <text>
        <r>
          <rPr>
            <sz val="10"/>
            <color rgb="FF000000"/>
            <rFont val="Arial"/>
          </rPr>
          <t>The Limbo Theorem can be started by completing Europa Junction and building the blueprint.
Limbo's blueprint and all component blueprints are obtained as the quest progresses.</t>
        </r>
      </text>
    </comment>
    <comment ref="K33" authorId="0" shapeId="0" xr:uid="{00000000-0006-0000-0100-000019000000}">
      <text>
        <r>
          <rPr>
            <sz val="10"/>
            <color rgb="FF000000"/>
            <rFont val="Arial"/>
          </rPr>
          <t>Permanently unvaulted, with relics being obtainable through Abandoned Derelict Caches in Corpus Railjack missions</t>
        </r>
      </text>
    </comment>
    <comment ref="F36" authorId="0" shapeId="0" xr:uid="{00000000-0006-0000-0100-00001A000000}">
      <text>
        <r>
          <rPr>
            <sz val="10"/>
            <color rgb="FF000000"/>
            <rFont val="Arial"/>
          </rPr>
          <t>Mesa's blueprint is obtained after finishing Patient Zero.
Component blueprints are obtained from running the Mutalist Alad V Assassination on Eris (node unlocked after finishing Patient Zero)</t>
        </r>
      </text>
    </comment>
    <comment ref="F37" authorId="0" shapeId="0" xr:uid="{00000000-0006-0000-0100-00001B000000}">
      <text>
        <r>
          <rPr>
            <sz val="10"/>
            <color rgb="FF000000"/>
            <rFont val="Arial"/>
          </rPr>
          <t>Mirage's blueprint and all component blueprints are obtained as the quest progresses.</t>
        </r>
      </text>
    </comment>
    <comment ref="F40" authorId="0" shapeId="0" xr:uid="{00000000-0006-0000-0100-00001C000000}">
      <text>
        <r>
          <rPr>
            <sz val="10"/>
            <color rgb="FF000000"/>
            <rFont val="Arial"/>
          </rPr>
          <t>Nidus' blueprint is obtained after finishing The Glast Gambit.
Component blueprints are obtained from running Infested Salvage (Oestrus, Eris), all pieces are in all 3 rotations (A, B &amp; C)</t>
        </r>
      </text>
    </comment>
    <comment ref="F41" authorId="0" shapeId="0" xr:uid="{00000000-0006-0000-0100-00001D000000}">
      <text>
        <r>
          <rPr>
            <sz val="10"/>
            <color rgb="FF000000"/>
            <rFont val="Arial"/>
          </rPr>
          <t>Alternatively Nokko's blueprints can be purchased from Nightcap in Fortuna with Fergolyte from Deepmines Bounties. Each component blueprint requires 160 and the main blueprint requires 240, totaling 720 Fergolyte for the whole set. Players must be at Rank 4 - Gardener with Nightcap in order to purchase</t>
        </r>
      </text>
    </comment>
    <comment ref="F43" authorId="0" shapeId="0" xr:uid="{00000000-0006-0000-0100-00001E000000}">
      <text>
        <r>
          <rPr>
            <sz val="10"/>
            <color rgb="FF000000"/>
            <rFont val="Arial"/>
          </rPr>
          <t>Phorid is found when an invasion takes over the Assassination mission of a planet.</t>
        </r>
      </text>
    </comment>
    <comment ref="K43" authorId="0" shapeId="0" xr:uid="{00000000-0006-0000-0100-00001F000000}">
      <text>
        <r>
          <rPr>
            <sz val="10"/>
            <color rgb="FF000000"/>
            <rFont val="Arial"/>
          </rPr>
          <t>Permanently unvaulted, with relics being obtainable through Abandoned Derelict Caches in Corpus Railjack missions</t>
        </r>
      </text>
    </comment>
    <comment ref="F44" authorId="0" shapeId="0" xr:uid="{00000000-0006-0000-0100-000020000000}">
      <text>
        <r>
          <rPr>
            <sz val="10"/>
            <color rgb="FF000000"/>
            <rFont val="Arial"/>
          </rPr>
          <t>Oberon's main blueprint can be purchased from the Market. Oberon's component blueprints are obtained from Earth Proxima (Neuroptics &amp; Systems) and Saturn Proxima (Chassis) Points of Interest in Empyrean missions.</t>
        </r>
      </text>
    </comment>
    <comment ref="F45" authorId="0" shapeId="0" xr:uid="{00000000-0006-0000-0100-000021000000}">
      <text>
        <r>
          <rPr>
            <sz val="10"/>
            <color rgb="FF000000"/>
            <rFont val="Arial"/>
          </rPr>
          <t>Octavia's blueprint is obtained after finishing Octavia's Anthem.
Component blueprints are obtained from the following:
- Neuroptics: Orokin Derelict/Deimos Survival (Rotation C)
- Chassis: Lua Music Puzzle
- Systems: Plato, Lua (Cache A)</t>
        </r>
      </text>
    </comment>
    <comment ref="K45" authorId="0" shapeId="0" xr:uid="{00000000-0006-0000-0100-000022000000}">
      <text>
        <r>
          <rPr>
            <sz val="10"/>
            <color rgb="FF000000"/>
            <rFont val="Arial"/>
          </rPr>
          <t>Baro Ki'Teer will occasionally sell relics containing this items blueprints</t>
        </r>
      </text>
    </comment>
    <comment ref="F46" authorId="0" shapeId="0" xr:uid="{00000000-0006-0000-0100-000023000000}">
      <text>
        <r>
          <rPr>
            <sz val="10"/>
            <color rgb="FF000000"/>
            <rFont val="Arial"/>
          </rPr>
          <t>Oraxia's main and component blueprints can be obtained from Isleweaver in Duviri. Access requires completion of The Hex Quest.
Alternatively, Oraxia's blueprints can be purchased from Acrithis (or Dominus Thrax during Operation: Eight Claw) in the Dormizone, using  Scuttler Husks awarded from Isleweaver. Each component blueprint requires 20  Husks and the main blueprint requires 60  Husks, totaling 120  Husks for the complete set.</t>
        </r>
      </text>
    </comment>
    <comment ref="F47" authorId="0" shapeId="0" xr:uid="{00000000-0006-0000-0100-000024000000}">
      <text>
        <r>
          <rPr>
            <sz val="10"/>
            <color rgb="FF000000"/>
            <rFont val="Arial"/>
          </rPr>
          <t>Protea's components can be obtained from rotation C of the 3 levels of the Grannum Void
- Neuroptics from the Normal version (Granum Crown)
- Chassis from the Extended version (Examplar Granum Crown)
- Systems from the Nightmare version (Zenith Granum Crown)</t>
        </r>
      </text>
    </comment>
    <comment ref="F48" authorId="0" shapeId="0" xr:uid="{00000000-0006-0000-0100-000025000000}">
      <text>
        <r>
          <rPr>
            <sz val="10"/>
            <color rgb="FF000000"/>
            <rFont val="Arial"/>
          </rPr>
          <t>Main blueprint is obtained after finishing Whispers in the Wall.
Component blueprints are obtained from Sanctum Anatomica Bounties:
- Neuroptics: Bounty lvl 55-60
- Chassis: Bounty lvl 65-70
- Systems: Bounty lvl 75-80</t>
        </r>
      </text>
    </comment>
    <comment ref="F49" authorId="0" shapeId="0" xr:uid="{00000000-0006-0000-0100-000026000000}">
      <text>
        <r>
          <rPr>
            <sz val="10"/>
            <color rgb="FF000000"/>
            <rFont val="Arial"/>
          </rPr>
          <t>Revenant's blueprint is obtained after finishing the mini-quest.
Component blueprints are obtained from Cetus Bounties:
- Neuroptics: Bounty lvl 40-60
- Chassis: Bounty lvl 30-50
- Systems: Bounty lvl 20-40</t>
        </r>
      </text>
    </comment>
    <comment ref="F52" authorId="0" shapeId="0" xr:uid="{00000000-0006-0000-0100-000027000000}">
      <text>
        <r>
          <rPr>
            <sz val="10"/>
            <color rgb="FF000000"/>
            <rFont val="Arial"/>
          </rPr>
          <t>Sevagoth's components can be obtained from Void Storm drop tables.</t>
        </r>
      </text>
    </comment>
    <comment ref="F53" authorId="0" shapeId="0" xr:uid="{00000000-0006-0000-0100-000028000000}">
      <text>
        <r>
          <rPr>
            <sz val="10"/>
            <color rgb="FF000000"/>
            <rFont val="Arial"/>
          </rPr>
          <t>Systems at Rank 2 - Encampment
Neuroptics at Rank 3 - Fort
Chassis at Rank 4 - Settlement
Blueprint at Rank 5 - Home</t>
        </r>
      </text>
    </comment>
    <comment ref="F54" authorId="0" shapeId="0" xr:uid="{00000000-0006-0000-0100-000029000000}">
      <text>
        <r>
          <rPr>
            <sz val="10"/>
            <color rgb="FF000000"/>
            <rFont val="Arial"/>
          </rPr>
          <t>Temple's main and component blueprints can be obtained from the Stage Defense at Solstice Square in Höllvania. Access requires completion of The Hex Quest and Rank 4 - Hot &amp; Fresh with  The Hex Syndicate.
Alternatively, Temple's blueprints can be purchased from Flare of  The Hex. They require Rank 4 - Hot &amp; Fresh and are purchased with the  Beating Heartstrings awarded from Stage Defense. Each component blueprint requires 65  and the main blueprint requires 195 , totaling 390  Beating Heartstrings for the complete set.</t>
        </r>
      </text>
    </comment>
    <comment ref="K54" authorId="0" shapeId="0" xr:uid="{00000000-0006-0000-0100-00002A000000}">
      <text>
        <r>
          <rPr>
            <sz val="10"/>
            <color rgb="FF000000"/>
            <rFont val="Arial"/>
          </rPr>
          <t>Mastery for Excalibur Umbra is gained as soon as you obtain the frame.</t>
        </r>
      </text>
    </comment>
    <comment ref="F55" authorId="0" shapeId="0" xr:uid="{00000000-0006-0000-0100-00002B000000}">
      <text>
        <r>
          <rPr>
            <sz val="10"/>
            <color rgb="FF000000"/>
            <rFont val="Arial"/>
          </rPr>
          <t>Titania's main blueprint and all component blueprints are obtained as the quest progresses.</t>
        </r>
      </text>
    </comment>
    <comment ref="F57" authorId="0" shapeId="0" xr:uid="{00000000-0006-0000-0100-00002C000000}">
      <text>
        <r>
          <rPr>
            <sz val="10"/>
            <color rgb="FF000000"/>
            <rFont val="Arial"/>
          </rPr>
          <t>Uriel's main blueprint is acquired upon completion of The Old Peace quest.
His component blueprints are obtained from Roathe's Oblivion on Infernium 21 of The Descendia.
Alternatively, Uriel's blueprints can be purchased from Roathe in La Cathėdrale, Sanctum Anatomica for  Maphica obtained in The Descendia. Each component blueprint costs 25 Maphica, and the main blueprint costs 75, totaling 150 Maphica for the full set.</t>
        </r>
      </text>
    </comment>
    <comment ref="F59" authorId="0" shapeId="0" xr:uid="{00000000-0006-0000-0100-00002D000000}">
      <text>
        <r>
          <rPr>
            <sz val="10"/>
            <color rgb="FF000000"/>
            <rFont val="Arial"/>
          </rPr>
          <t>Vauban's main blueprint can be purchased from the Market. Vauban's component blueprints can be bought from the Nightwave Offerings for  25 each, for a total of  75.</t>
        </r>
      </text>
    </comment>
    <comment ref="F61" authorId="0" shapeId="0" xr:uid="{00000000-0006-0000-0100-00002E000000}">
      <text>
        <r>
          <rPr>
            <sz val="10"/>
            <color rgb="FF000000"/>
            <rFont val="Arial"/>
          </rPr>
          <t>All components and blueprints are found on rotation C
Alternatively they can be purchased from Archimedean Yonta on the Chrysalith, Zariman Ten Zero (requires completion of Angels of the Zariman to access) with  Lua Thrax Plasm, awarded from Conjunction Survival and dropped by the Lua Thraxes enemies</t>
        </r>
      </text>
    </comment>
    <comment ref="F64" authorId="0" shapeId="0" xr:uid="{00000000-0006-0000-0100-00002F000000}">
      <text>
        <r>
          <rPr>
            <sz val="10"/>
            <color rgb="FF000000"/>
            <rFont val="Arial"/>
          </rPr>
          <t>Main blueprint is obtained after finishing Whispers in the Wall.
Component blueprints are obtained from Necralisk bounties:
- Neuroptics: Bounty lvl 15-25
- Chassis: Bounty lvl 30-40
- Systems: Bounty lvl 45-100</t>
        </r>
      </text>
    </comment>
    <comment ref="F65" authorId="0" shapeId="0" xr:uid="{00000000-0006-0000-0100-000030000000}">
      <text>
        <r>
          <rPr>
            <sz val="10"/>
            <color rgb="FF000000"/>
            <rFont val="Arial"/>
          </rPr>
          <t xml:space="preserve">Component parts are acquired by research in the Ventkids Bash lab in a Clan dojo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4" authorId="0" shapeId="0" xr:uid="{00000000-0006-0000-0200-000001000000}">
      <text>
        <r>
          <rPr>
            <sz val="10"/>
            <color rgb="FF000000"/>
            <rFont val="Arial"/>
          </rPr>
          <t>Main - 110-115 Bounties
Stock - Void Flood
Barrel - Void Cascade
Receiver - Void Flood</t>
        </r>
      </text>
    </comment>
    <comment ref="O4" authorId="0" shapeId="0" xr:uid="{00000000-0006-0000-0200-000002000000}">
      <text>
        <r>
          <rPr>
            <sz val="10"/>
            <color rgb="FF000000"/>
            <rFont val="Arial"/>
          </rPr>
          <t>Component to craft the Panthera
Also requires the Hikou (Secondary weapon)</t>
        </r>
      </text>
    </comment>
    <comment ref="E5" authorId="0" shapeId="0" xr:uid="{00000000-0006-0000-0200-000003000000}">
      <text>
        <r>
          <rPr>
            <sz val="10"/>
            <color rgb="FF000000"/>
            <rFont val="Arial"/>
          </rPr>
          <t>Level 70-75 Bounties</t>
        </r>
      </text>
    </comment>
    <comment ref="E6" authorId="0" shapeId="0" xr:uid="{00000000-0006-0000-0200-000004000000}">
      <text>
        <r>
          <rPr>
            <sz val="10"/>
            <color rgb="FF000000"/>
            <rFont val="Arial"/>
          </rPr>
          <t>Main blueprint from Venus, Neptune, Pluto and veil Proxima Survival missions
Components dropped by Aurax Atloc Raknoids (Corpus Proximas) and Narmer Raknoids (Narmers troops on the Orb Valis)</t>
        </r>
      </text>
    </comment>
    <comment ref="O6" authorId="0" shapeId="0" xr:uid="{00000000-0006-0000-0200-000005000000}">
      <text>
        <r>
          <rPr>
            <sz val="10"/>
            <color rgb="FF000000"/>
            <rFont val="Arial"/>
          </rPr>
          <t>Requires Miter as component to craft
Requires Hikou (Secondary Weapon) as component to craft</t>
        </r>
      </text>
    </comment>
    <comment ref="J9" authorId="0" shapeId="0" xr:uid="{00000000-0006-0000-0200-000006000000}">
      <text>
        <r>
          <rPr>
            <sz val="10"/>
            <color rgb="FF000000"/>
            <rFont val="Arial"/>
          </rPr>
          <t>Component to craft the Zarr</t>
        </r>
      </text>
    </comment>
    <comment ref="E13" authorId="0" shapeId="0" xr:uid="{00000000-0006-0000-0200-000007000000}">
      <text>
        <r>
          <rPr>
            <sz val="10"/>
            <color rgb="FF000000"/>
            <rFont val="Arial"/>
          </rPr>
          <t>Component to craft the Boltace (Melee Weapon)
Also requires Kronen (Melee Weapon)</t>
        </r>
      </text>
    </comment>
    <comment ref="O13" authorId="0" shapeId="0" xr:uid="{00000000-0006-0000-0200-000008000000}">
      <text>
        <r>
          <rPr>
            <sz val="10"/>
            <color rgb="FF000000"/>
            <rFont val="Arial"/>
          </rPr>
          <t>Requires Drakgoon as component to craft</t>
        </r>
      </text>
    </comment>
    <comment ref="E15" authorId="0" shapeId="0" xr:uid="{00000000-0006-0000-0200-000009000000}">
      <text>
        <r>
          <rPr>
            <sz val="10"/>
            <color rgb="FF000000"/>
            <rFont val="Arial"/>
          </rPr>
          <t>Drops from all 3 rotations (A, B &amp; C)</t>
        </r>
      </text>
    </comment>
    <comment ref="J16" authorId="0" shapeId="0" xr:uid="{00000000-0006-0000-0200-00000A000000}">
      <text>
        <r>
          <rPr>
            <sz val="10"/>
            <color rgb="FF000000"/>
            <rFont val="Arial"/>
          </rPr>
          <t>You have to get Kullervos bane and trade it for the components and the blueprint</t>
        </r>
      </text>
    </comment>
    <comment ref="J19" authorId="0" shapeId="0" xr:uid="{00000000-0006-0000-0200-00000B000000}">
      <text>
        <r>
          <rPr>
            <sz val="10"/>
            <color rgb="FF000000"/>
            <rFont val="Arial"/>
          </rPr>
          <t>Blueprint- Rotation A
All others- Rotation B</t>
        </r>
      </text>
    </comment>
    <comment ref="E23" authorId="0" shapeId="0" xr:uid="{00000000-0006-0000-0200-00000C000000}">
      <text>
        <r>
          <rPr>
            <sz val="10"/>
            <color rgb="FF000000"/>
            <rFont val="Arial"/>
          </rPr>
          <t>Components Blueprints drops from Rotation A
Alternatively they can be purchased from Aspirant Zorba in any relay with  Atramentum, awarded from Follie's Hunt in quantities of 5 (10 on The Steel Path) and as a random drop from enemies and Atramentum Balloons within the mission. Each component blueprint requires 400 and the main blueprint requires 1200, totaling 2400 Atramentum for the whole set.</t>
        </r>
      </text>
    </comment>
    <comment ref="O24" authorId="0" shapeId="0" xr:uid="{00000000-0006-0000-0200-00000D000000}">
      <text>
        <r>
          <rPr>
            <sz val="10"/>
            <color rgb="FF000000"/>
            <rFont val="Arial"/>
          </rPr>
          <t>Permanently unvaulted, with relics being obtainable through Abandoned Derelict Caches in Corpus Railjack missions</t>
        </r>
      </text>
    </comment>
    <comment ref="J28" authorId="0" shapeId="0" xr:uid="{00000000-0006-0000-0200-00000E000000}">
      <text>
        <r>
          <rPr>
            <sz val="10"/>
            <color rgb="FF000000"/>
            <rFont val="Arial"/>
          </rPr>
          <t xml:space="preserve">Yuvarium and Circulus on Lua
Blueprint comes form rotation A
components come from Rotation B
</t>
        </r>
      </text>
    </comment>
    <comment ref="E30" authorId="0" shapeId="0" xr:uid="{00000000-0006-0000-0200-00000F000000}">
      <text>
        <r>
          <rPr>
            <sz val="10"/>
            <color rgb="FF000000"/>
            <rFont val="Arial"/>
          </rPr>
          <t>Component to craft the Twin Gratakas
2 are needed</t>
        </r>
      </text>
    </comment>
    <comment ref="J30" authorId="0" shapeId="0" xr:uid="{00000000-0006-0000-0200-000010000000}">
      <text>
        <r>
          <rPr>
            <sz val="10"/>
            <color rgb="FF000000"/>
            <rFont val="Arial"/>
          </rPr>
          <t>Officially Retired
Brought back ocassionally as an alert or as an event reward.</t>
        </r>
      </text>
    </comment>
    <comment ref="J32" authorId="0" shapeId="0" xr:uid="{00000000-0006-0000-0200-000011000000}">
      <text>
        <r>
          <rPr>
            <sz val="10"/>
            <color rgb="FF000000"/>
            <rFont val="Arial"/>
          </rPr>
          <t>Main &amp; components blueprints also available for purchase for Necraloid standing</t>
        </r>
      </text>
    </comment>
    <comment ref="E34" authorId="0" shapeId="0" xr:uid="{00000000-0006-0000-0200-000012000000}">
      <text>
        <r>
          <rPr>
            <sz val="10"/>
            <color rgb="FF000000"/>
            <rFont val="Arial"/>
          </rPr>
          <t>Alternatively they can be purchased from Koumei's Shrine in Cetus with  Fate Pearl, which are dropped by the Infested Oni at the end of Shrine Defense in quantities of 14-18 (20-24 on The Steel Path). Each component blueprint require 45 and the main blueprint requires 135, totaling 270 Fate Pearls for the whole set.</t>
        </r>
      </text>
    </comment>
    <comment ref="J39" authorId="0" shapeId="0" xr:uid="{00000000-0006-0000-0200-000013000000}">
      <text>
        <r>
          <rPr>
            <sz val="10"/>
            <color rgb="FF000000"/>
            <rFont val="Arial"/>
          </rPr>
          <t>Component to craft the Mutalist Cernos</t>
        </r>
      </text>
    </comment>
    <comment ref="E40" authorId="0" shapeId="0" xr:uid="{00000000-0006-0000-0200-000014000000}">
      <text>
        <r>
          <rPr>
            <sz val="10"/>
            <color rgb="FF000000"/>
            <rFont val="Arial"/>
          </rPr>
          <t>Component to craft the Tiberon</t>
        </r>
      </text>
    </comment>
    <comment ref="J43" authorId="0" shapeId="0" xr:uid="{00000000-0006-0000-0200-000015000000}">
      <text>
        <r>
          <rPr>
            <sz val="10"/>
            <color rgb="FF000000"/>
            <rFont val="Arial"/>
          </rPr>
          <t>Alternatively, the blueprints can also be purchased from Ordis in the Drifter's Camp for 300  Vestigial Motes, awarded from Ascension in quantities of 11-13 (16-18 on The Steel Path) from mission completion and 5-7 (8-10 on The Steel Path) from the optional Sisters of Parvos objective.</t>
        </r>
      </text>
    </comment>
    <comment ref="J45" authorId="0" shapeId="0" xr:uid="{00000000-0006-0000-0200-000016000000}">
      <text>
        <r>
          <rPr>
            <sz val="10"/>
            <color rgb="FF000000"/>
            <rFont val="Arial"/>
          </rPr>
          <t>Component to craft the Proboscis Cernos
Requires Cernos as component to craft</t>
        </r>
      </text>
    </comment>
    <comment ref="J50" authorId="0" shapeId="0" xr:uid="{00000000-0006-0000-0200-000017000000}">
      <text>
        <r>
          <rPr>
            <sz val="10"/>
            <color rgb="FF000000"/>
            <rFont val="Arial"/>
          </rPr>
          <t>Requires Mutalist Cernos as component to craft
Mutalist Cernos requires a Cernos</t>
        </r>
      </text>
    </comment>
    <comment ref="L56" authorId="0" shapeId="0" xr:uid="{00000000-0006-0000-0200-000018000000}">
      <text>
        <r>
          <rPr>
            <sz val="10"/>
            <color rgb="FF000000"/>
            <rFont val="Arial"/>
          </rPr>
          <t xml:space="preserve">Kuva weapons are obtained by killing your personnal Kuva lich.
You need to complete the War Within Quest to make Kuva larvling spawn.
Need 5 formas to reach the maximum rank of 40.
</t>
        </r>
      </text>
    </comment>
    <comment ref="E57" authorId="0" shapeId="0" xr:uid="{00000000-0006-0000-0200-000019000000}">
      <text>
        <r>
          <rPr>
            <sz val="10"/>
            <color rgb="FF000000"/>
            <rFont val="Arial"/>
          </rPr>
          <t>Shedu's components can be obtained from enemies within the Murex anomalies in Veil Proxima missions.</t>
        </r>
      </text>
    </comment>
    <comment ref="E59" authorId="0" shapeId="0" xr:uid="{00000000-0006-0000-0200-00001A000000}">
      <text>
        <r>
          <rPr>
            <sz val="10"/>
            <color rgb="FF000000"/>
            <rFont val="Arial"/>
          </rPr>
          <t>Stahlta's components can be obtained from rotation C of the 3 levels of the Grannum Void.</t>
        </r>
      </text>
    </comment>
    <comment ref="J62" authorId="0" shapeId="0" xr:uid="{00000000-0006-0000-0200-00001B000000}">
      <text>
        <r>
          <rPr>
            <sz val="10"/>
            <color rgb="FF000000"/>
            <rFont val="Arial"/>
          </rPr>
          <t>Vinquibus' main and component blueprints from Roathe's Oblivion on Infernium 21 of The Descendia, available after completing The Old Peace quest.
Alternatively Vinquibus's blueprints can be purchased from Roathe in La Cathėdrale, Sanctum Anatomica for  Maphica obtained in The Descendia. Each component blueprint requires 25 and the main blueprint requires 35, totaling 135 Maphica for the whole set.</t>
        </r>
      </text>
    </comment>
    <comment ref="G64" authorId="0" shapeId="0" xr:uid="{00000000-0006-0000-0200-00001C000000}">
      <text>
        <r>
          <rPr>
            <sz val="10"/>
            <color rgb="FF000000"/>
            <rFont val="Arial"/>
          </rPr>
          <t>Vanquishing a Technocyte Coda drops Live Heartcells, 10 of which can be used to purchase Coda weapons from Eleanor.
Need 5 formas to reach the maximum rank of 40.</t>
        </r>
      </text>
    </comment>
    <comment ref="E69" authorId="0" shapeId="0" xr:uid="{00000000-0006-0000-0200-00001D000000}">
      <text>
        <r>
          <rPr>
            <sz val="10"/>
            <color rgb="FF000000"/>
            <rFont val="Arial"/>
          </rPr>
          <t>Requires Latron as component to craft</t>
        </r>
      </text>
    </comment>
    <comment ref="E72" authorId="0" shapeId="0" xr:uid="{00000000-0006-0000-0200-00001E000000}">
      <text>
        <r>
          <rPr>
            <sz val="10"/>
            <color rgb="FF000000"/>
            <rFont val="Arial"/>
          </rPr>
          <t>You can choose this weapon as your reward at the Milestone days listed. Once chosen it may not be chosen again.</t>
        </r>
      </text>
    </comment>
    <comment ref="L82" authorId="0" shapeId="0" xr:uid="{00000000-0006-0000-0200-00001F000000}">
      <text>
        <r>
          <rPr>
            <sz val="10"/>
            <color rgb="FF000000"/>
            <rFont val="Arial"/>
          </rPr>
          <t xml:space="preserve">Tenet weapons are obtained by killing your personnal Sisters of Parvos.
Need 5 formas to reach the maximum rank of 40.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3" authorId="0" shapeId="0" xr:uid="{00000000-0006-0000-0300-000001000000}">
      <text>
        <r>
          <rPr>
            <sz val="10"/>
            <color rgb="FF000000"/>
            <rFont val="Arial"/>
          </rPr>
          <t>Requires 2 Furis as component to craft</t>
        </r>
      </text>
    </comment>
    <comment ref="J5" authorId="0" shapeId="0" xr:uid="{00000000-0006-0000-0300-000002000000}">
      <text>
        <r>
          <rPr>
            <sz val="10"/>
            <color rgb="FF000000"/>
            <rFont val="Arial"/>
          </rPr>
          <t>Component to craft the Akjagara
Also requires a Dual Skana (Melee weapon)
Requires 2 Bolto as component to craft
Each Bolto requires a Lato to craft</t>
        </r>
      </text>
    </comment>
    <comment ref="O5" authorId="0" shapeId="0" xr:uid="{00000000-0006-0000-0300-000003000000}">
      <text>
        <r>
          <rPr>
            <sz val="10"/>
            <color rgb="FF000000"/>
            <rFont val="Arial"/>
          </rPr>
          <t>Does not requires Bolto Prime to craft (because there is no Bolto Prime)
Praise Lotus for this tbh</t>
        </r>
      </text>
    </comment>
    <comment ref="E6" authorId="0" shapeId="0" xr:uid="{00000000-0006-0000-0300-000004000000}">
      <text>
        <r>
          <rPr>
            <sz val="10"/>
            <color rgb="FF000000"/>
            <rFont val="Arial"/>
          </rPr>
          <t>Velox's components can be obtained from rotation C of the 3 tiers of the Grannum Void.</t>
        </r>
      </text>
    </comment>
    <comment ref="J6" authorId="0" shapeId="0" xr:uid="{00000000-0006-0000-0300-000005000000}">
      <text>
        <r>
          <rPr>
            <sz val="10"/>
            <color rgb="FF000000"/>
            <rFont val="Arial"/>
          </rPr>
          <t>Requires 2 Bronco as component to craft</t>
        </r>
      </text>
    </comment>
    <comment ref="O6" authorId="0" shapeId="0" xr:uid="{00000000-0006-0000-0300-000006000000}">
      <text>
        <r>
          <rPr>
            <sz val="10"/>
            <color rgb="FF000000"/>
            <rFont val="Arial"/>
          </rPr>
          <t>Requires 2 Bronco Prime as component to craft</t>
        </r>
      </text>
    </comment>
    <comment ref="E7" authorId="0" shapeId="0" xr:uid="{00000000-0006-0000-0300-000007000000}">
      <text>
        <r>
          <rPr>
            <sz val="10"/>
            <color rgb="FF000000"/>
            <rFont val="Arial"/>
          </rPr>
          <t>Component to craft the Twin Basolk
Also requires Dual Zoren (Melee Weapon)</t>
        </r>
      </text>
    </comment>
    <comment ref="J7" authorId="0" shapeId="0" xr:uid="{00000000-0006-0000-0300-000008000000}">
      <text>
        <r>
          <rPr>
            <sz val="10"/>
            <color rgb="FF000000"/>
            <rFont val="Arial"/>
          </rPr>
          <t>Requires Akbolto as component to craft
Requires Dual Skana as component to craft (Melee weapon)
Akbolto requires 2 Bolto (Secondary weapons)
Each Bolto requires a Lato (Secondary weapon)
yea
i know</t>
        </r>
      </text>
    </comment>
    <comment ref="E8" authorId="0" shapeId="0" xr:uid="{00000000-0006-0000-0300-000009000000}">
      <text>
        <r>
          <rPr>
            <sz val="10"/>
            <color rgb="FF000000"/>
            <rFont val="Arial"/>
          </rPr>
          <t>You can choose this weapon as your reward at the Milestone days listed. Once chosen it may not be chosen again.</t>
        </r>
      </text>
    </comment>
    <comment ref="O8" authorId="0" shapeId="0" xr:uid="{00000000-0006-0000-0300-00000A000000}">
      <text>
        <r>
          <rPr>
            <sz val="10"/>
            <color rgb="FF000000"/>
            <rFont val="Arial"/>
          </rPr>
          <t>Baro Ki'Teer will occasionally sell relics containing this items blueprints
Requires 2 Lex Prime as component to craft</t>
        </r>
      </text>
    </comment>
    <comment ref="J9" authorId="0" shapeId="0" xr:uid="{00000000-0006-0000-0300-00000B000000}">
      <text>
        <r>
          <rPr>
            <sz val="10"/>
            <color rgb="FF000000"/>
            <rFont val="Arial"/>
          </rPr>
          <t>Requires 2 Lex as component to craft</t>
        </r>
      </text>
    </comment>
    <comment ref="O9" authorId="0" shapeId="0" xr:uid="{00000000-0006-0000-0300-00000C000000}">
      <text>
        <r>
          <rPr>
            <sz val="10"/>
            <color rgb="FF000000"/>
            <rFont val="Arial"/>
          </rPr>
          <t>Baro Ki'Teer will occasionally sell relics containing this items blueprints
Requires 2 Magnus Prime as component to craft</t>
        </r>
      </text>
    </comment>
    <comment ref="E10" authorId="0" shapeId="0" xr:uid="{00000000-0006-0000-0300-00000D000000}">
      <text>
        <r>
          <rPr>
            <sz val="10"/>
            <color rgb="FF000000"/>
            <rFont val="Arial"/>
          </rPr>
          <t>Component to craft the Akbolto
2 are needed
Akbolto is a component to craft the Akjagara
Component for the Hystrix
Also requires a Viper
Requires a Lato to craft</t>
        </r>
      </text>
    </comment>
    <comment ref="J10" authorId="0" shapeId="0" xr:uid="{00000000-0006-0000-0300-00000E000000}">
      <text>
        <r>
          <rPr>
            <sz val="10"/>
            <color rgb="FF000000"/>
            <rFont val="Arial"/>
          </rPr>
          <t>Requires 2 Magnus as component to craft</t>
        </r>
      </text>
    </comment>
    <comment ref="J11" authorId="0" shapeId="0" xr:uid="{00000000-0006-0000-0300-00000F000000}">
      <text>
        <r>
          <rPr>
            <sz val="10"/>
            <color rgb="FF000000"/>
            <rFont val="Arial"/>
          </rPr>
          <t>Requires Akstilleto as component to craft</t>
        </r>
      </text>
    </comment>
    <comment ref="E12" authorId="0" shapeId="0" xr:uid="{00000000-0006-0000-0300-000010000000}">
      <text>
        <r>
          <rPr>
            <sz val="10"/>
            <color rgb="FF000000"/>
            <rFont val="Arial"/>
          </rPr>
          <t>Component to craft the Akbronco
2 are needed</t>
        </r>
      </text>
    </comment>
    <comment ref="J12" authorId="0" shapeId="0" xr:uid="{00000000-0006-0000-0300-000011000000}">
      <text>
        <r>
          <rPr>
            <sz val="10"/>
            <color rgb="FF000000"/>
            <rFont val="Arial"/>
          </rPr>
          <t>Component to craft the Aksomati
Component for the Sarpa (Melee Weapon)</t>
        </r>
      </text>
    </comment>
    <comment ref="O12" authorId="0" shapeId="0" xr:uid="{00000000-0006-0000-0300-000012000000}">
      <text>
        <r>
          <rPr>
            <sz val="10"/>
            <color rgb="FF000000"/>
            <rFont val="Arial"/>
          </rPr>
          <t>Baro Ki'Teer will occasionally sell relics containing this items blueprints
Requires 2 Vasto Prime as component to craft</t>
        </r>
      </text>
    </comment>
    <comment ref="J13" authorId="0" shapeId="0" xr:uid="{00000000-0006-0000-0300-000013000000}">
      <text>
        <r>
          <rPr>
            <sz val="10"/>
            <color rgb="FF000000"/>
            <rFont val="Arial"/>
          </rPr>
          <t>Requires 2 Vasto as component to craft</t>
        </r>
      </text>
    </comment>
    <comment ref="E14" authorId="0" shapeId="0" xr:uid="{00000000-0006-0000-0300-000014000000}">
      <text>
        <r>
          <rPr>
            <sz val="10"/>
            <color rgb="FF000000"/>
            <rFont val="Arial"/>
          </rPr>
          <t>Component to craft the Dual Cestra
2 are needed</t>
        </r>
      </text>
    </comment>
    <comment ref="O14" authorId="0" shapeId="0" xr:uid="{00000000-0006-0000-0300-000015000000}">
      <text>
        <r>
          <rPr>
            <sz val="10"/>
            <color rgb="FF000000"/>
            <rFont val="Arial"/>
          </rPr>
          <t>Requires 2 as component to craft the Akbronco Prime</t>
        </r>
      </text>
    </comment>
    <comment ref="J16" authorId="0" shapeId="0" xr:uid="{00000000-0006-0000-0300-000016000000}">
      <text>
        <r>
          <rPr>
            <sz val="10"/>
            <color rgb="FF000000"/>
            <rFont val="Arial"/>
          </rPr>
          <t>Requires 2 Cestra as component to craft</t>
        </r>
      </text>
    </comment>
    <comment ref="O17" authorId="0" shapeId="0" xr:uid="{00000000-0006-0000-0300-000017000000}">
      <text>
        <r>
          <rPr>
            <sz val="10"/>
            <color rgb="FF000000"/>
            <rFont val="Arial"/>
          </rPr>
          <t>Permanently unvaulted, with relics being obtainable through Abandoned Derelict Caches in Corpus Railjack missions</t>
        </r>
      </text>
    </comment>
    <comment ref="E21" authorId="0" shapeId="0" xr:uid="{00000000-0006-0000-0300-000018000000}">
      <text>
        <r>
          <rPr>
            <sz val="10"/>
            <color rgb="FF000000"/>
            <rFont val="Arial"/>
          </rPr>
          <t>Component to craft the Akfuris
2 are needed</t>
        </r>
      </text>
    </comment>
    <comment ref="O21" authorId="0" shapeId="0" xr:uid="{00000000-0006-0000-0300-000019000000}">
      <text>
        <r>
          <rPr>
            <sz val="10"/>
            <color rgb="FF000000"/>
            <rFont val="Arial"/>
          </rPr>
          <t xml:space="preserve">Permanently unvaulted, with relics being obtainable through Abandoned Derelict Caches in Corpus Railjack missions
ALSO, Baro Ki'Teer will occasionally sell relics containing this items blueprints
Requires 2 as component to craft the Aklex Prime
</t>
        </r>
      </text>
    </comment>
    <comment ref="E22" authorId="0" shapeId="0" xr:uid="{00000000-0006-0000-0300-00001A000000}">
      <text>
        <r>
          <rPr>
            <sz val="10"/>
            <color rgb="FF000000"/>
            <rFont val="Arial"/>
          </rPr>
          <t>Component to craft the Heliocor (Melee Weapon)</t>
        </r>
      </text>
    </comment>
    <comment ref="J22" authorId="0" shapeId="0" xr:uid="{00000000-0006-0000-0300-00001B000000}">
      <text>
        <r>
          <rPr>
            <sz val="10"/>
            <color rgb="FF000000"/>
            <rFont val="Arial"/>
          </rPr>
          <t>Requires 2 Grataka (Secondary Weapon) as component to craft</t>
        </r>
      </text>
    </comment>
    <comment ref="O22" authorId="0" shapeId="0" xr:uid="{00000000-0006-0000-0300-00001C000000}">
      <text>
        <r>
          <rPr>
            <sz val="10"/>
            <color rgb="FF000000"/>
            <rFont val="Arial"/>
          </rPr>
          <t>Baro Ki'Teer will occasionally sell relics containing this items blueprints
Requires 2 as component to craft the Akmagnus Prime</t>
        </r>
      </text>
    </comment>
    <comment ref="E24" authorId="0" shapeId="0" xr:uid="{00000000-0006-0000-0300-00001D000000}">
      <text>
        <r>
          <rPr>
            <sz val="10"/>
            <color rgb="FF000000"/>
            <rFont val="Arial"/>
          </rPr>
          <t xml:space="preserve">Requires Bolto as component to craft
Requires Viper as component to craft
Bolto requires Lato to craft
</t>
        </r>
      </text>
    </comment>
    <comment ref="J24" authorId="0" shapeId="0" xr:uid="{00000000-0006-0000-0300-00001E000000}">
      <text>
        <r>
          <rPr>
            <sz val="10"/>
            <color rgb="FF000000"/>
            <rFont val="Arial"/>
          </rPr>
          <t>Requires 2 Kohmak as component to craft</t>
        </r>
      </text>
    </comment>
    <comment ref="O25" authorId="0" shapeId="0" xr:uid="{00000000-0006-0000-0300-00001F000000}">
      <text>
        <r>
          <rPr>
            <sz val="10"/>
            <color rgb="FF000000"/>
            <rFont val="Arial"/>
          </rPr>
          <t>Sagek Prime's main and component blueprints are obtained from Rotation A of The Perita Rebellion, available after completing The Old Peace quest.
Alternatively Sagek Prime's blueprints can be purchased from Roathe in La Cathėdrale, Sanctum Anatomica for  Maphica obtained in The Descendia. Each component blueprint requires 25 and the main blueprint requires 35, totaling 85 Maphica for the whole set.</t>
        </r>
      </text>
    </comment>
    <comment ref="E26" authorId="0" shapeId="0" xr:uid="{00000000-0006-0000-0300-000020000000}">
      <text>
        <r>
          <rPr>
            <sz val="10"/>
            <color rgb="FF000000"/>
            <rFont val="Arial"/>
          </rPr>
          <t>Component to craft the Twin Kohmak
2 are needed</t>
        </r>
      </text>
    </comment>
    <comment ref="J26" authorId="0" shapeId="0" xr:uid="{00000000-0006-0000-0300-000021000000}">
      <text>
        <r>
          <rPr>
            <sz val="10"/>
            <color rgb="FF000000"/>
            <rFont val="Arial"/>
          </rPr>
          <t>Requires 2 Viper as component to craft</t>
        </r>
      </text>
    </comment>
    <comment ref="E28" authorId="0" shapeId="0" xr:uid="{00000000-0006-0000-0300-000022000000}">
      <text>
        <r>
          <rPr>
            <sz val="10"/>
            <color rgb="FF000000"/>
            <rFont val="Arial"/>
          </rPr>
          <t>Component to craft the Kulstar</t>
        </r>
      </text>
    </comment>
    <comment ref="O28" authorId="0" shapeId="0" xr:uid="{00000000-0006-0000-0300-000023000000}">
      <text>
        <r>
          <rPr>
            <sz val="10"/>
            <color rgb="FF000000"/>
            <rFont val="Arial"/>
          </rPr>
          <t>Baro Ki'Teer will occasionally sell relics containing this items blueprints
Requires 2 as component to craft the Akvasto Prime</t>
        </r>
      </text>
    </comment>
    <comment ref="E29" authorId="0" shapeId="0" xr:uid="{00000000-0006-0000-0300-000024000000}">
      <text>
        <r>
          <rPr>
            <sz val="10"/>
            <color rgb="FF000000"/>
            <rFont val="Arial"/>
          </rPr>
          <t>Requires Kraken as component to craft</t>
        </r>
      </text>
    </comment>
    <comment ref="E31" authorId="0" shapeId="0" xr:uid="{00000000-0006-0000-0300-000025000000}">
      <text>
        <r>
          <rPr>
            <sz val="10"/>
            <color rgb="FF000000"/>
            <rFont val="Arial"/>
          </rPr>
          <t>Component to craft the Bolto
Bolto is required in the Akbolto and Hystrix crafts
Akbolto is required in the Akjagara craft</t>
        </r>
      </text>
    </comment>
    <comment ref="J31" authorId="0" shapeId="0" xr:uid="{00000000-0006-0000-0300-000026000000}">
      <text>
        <r>
          <rPr>
            <sz val="10"/>
            <color rgb="FF000000"/>
            <rFont val="Arial"/>
          </rPr>
          <t>Alternatively, the blueprints can also be purchased from Ordis in the Drifter's Camp for 300  Vestigial Motes, awarded from Ascension in quantities of 11-13 (16-18 on The Steel Path) from mission completion and 5-7 (8-10 on The Steel Path) from the optional Sisters of Parvos objective.</t>
        </r>
      </text>
    </comment>
    <comment ref="E32" authorId="0" shapeId="0" xr:uid="{00000000-0006-0000-0300-000027000000}">
      <text>
        <r>
          <rPr>
            <sz val="10"/>
            <color rgb="FF000000"/>
            <rFont val="Arial"/>
          </rPr>
          <t>Drops from all 3 rotations (A, B &amp; C)</t>
        </r>
      </text>
    </comment>
    <comment ref="E33" authorId="0" shapeId="0" xr:uid="{00000000-0006-0000-0300-000028000000}">
      <text>
        <r>
          <rPr>
            <sz val="10"/>
            <color rgb="FF000000"/>
            <rFont val="Arial"/>
          </rPr>
          <t>Component to craft the Aklex
2 are needed</t>
        </r>
      </text>
    </comment>
    <comment ref="E34" authorId="0" shapeId="0" xr:uid="{00000000-0006-0000-0300-000029000000}">
      <text>
        <r>
          <rPr>
            <sz val="10"/>
            <color rgb="FF000000"/>
            <rFont val="Arial"/>
          </rPr>
          <t>Component to craft the Akmagnus
2 are needed</t>
        </r>
      </text>
    </comment>
    <comment ref="J35" authorId="0" shapeId="0" xr:uid="{00000000-0006-0000-0300-00002A000000}">
      <text>
        <r>
          <rPr>
            <sz val="10"/>
            <color rgb="FF000000"/>
            <rFont val="Arial"/>
          </rPr>
          <t>Component to craft the Panthera
Also requires the Miter (Primary weapon)</t>
        </r>
      </text>
    </comment>
    <comment ref="J36" authorId="0" shapeId="0" xr:uid="{00000000-0006-0000-0300-00002B000000}">
      <text>
        <r>
          <rPr>
            <sz val="10"/>
            <color rgb="FF000000"/>
            <rFont val="Arial"/>
          </rPr>
          <t>Component to craft the Tipedo (Melee Weapon)
Also requires the Bo (Melee weapon)
Tipedo is used to craft the Lesion (Melee Weapon)</t>
        </r>
      </text>
    </comment>
    <comment ref="L37" authorId="0" shapeId="0" xr:uid="{00000000-0006-0000-0300-00002C000000}">
      <text>
        <r>
          <rPr>
            <sz val="10"/>
            <color rgb="FF000000"/>
            <rFont val="Arial"/>
          </rPr>
          <t>Kitguns are unique among secondary weapons, they do not count for mastery until they have been gilded (leveled to rank 30, then spend 5000 standing and 10 Shelter Bonds with Rude Zuud).</t>
        </r>
      </text>
    </comment>
    <comment ref="J39" authorId="0" shapeId="0" xr:uid="{00000000-0006-0000-0300-00002D000000}">
      <text>
        <r>
          <rPr>
            <sz val="10"/>
            <color rgb="FF000000"/>
            <rFont val="Arial"/>
          </rPr>
          <t>Alternatively, Scyotid's blueprints can be purchased from Acrithis or Dominus Thrax in the Dormizone, using  Scuttler Husk awarded from Isleweaver. Each component blueprint requires 12  and the main blueprint requires 48 , totaling 96  Scuttler Husks for the complete set.</t>
        </r>
      </text>
    </comment>
    <comment ref="G43" authorId="0" shapeId="0" xr:uid="{00000000-0006-0000-0300-00002E000000}">
      <text>
        <r>
          <rPr>
            <sz val="10"/>
            <color rgb="FF000000"/>
            <rFont val="Arial"/>
          </rPr>
          <t>Vanquishing a Technocyte Coda drops Live Heartcells, 10 of which can be used to purchase Coda weapons from Eleanor.
Need 5 formas to reach the maximum rank of 40.</t>
        </r>
      </text>
    </comment>
    <comment ref="L45" authorId="0" shapeId="0" xr:uid="{00000000-0006-0000-0300-00002F000000}">
      <text>
        <r>
          <rPr>
            <sz val="10"/>
            <color rgb="FF000000"/>
            <rFont val="Arial"/>
          </rPr>
          <t xml:space="preserve">Kuva weapons are obtained by killing your personnal Kuva lich.
You need to complete the War Within Quest to make Kuva larvling spawn.
Need 5 formas to reach the maximum rank of 40.
</t>
        </r>
      </text>
    </comment>
    <comment ref="E57" authorId="0" shapeId="0" xr:uid="{00000000-0006-0000-0300-000030000000}">
      <text>
        <r>
          <rPr>
            <sz val="10"/>
            <color rgb="FF000000"/>
            <rFont val="Arial"/>
          </rPr>
          <t>Component to craft the Akvasto
2 are needed
Component for Redeemer (Melee Weapon)
Also requires Dual Skana (Melee Weapon)</t>
        </r>
      </text>
    </comment>
    <comment ref="L58" authorId="0" shapeId="0" xr:uid="{00000000-0006-0000-0300-000031000000}">
      <text>
        <r>
          <rPr>
            <sz val="10"/>
            <color rgb="FF000000"/>
            <rFont val="Arial"/>
          </rPr>
          <t xml:space="preserve">Tenet weapons are obtained by killing your personnal Sisters of Parvos.
Need 5 formas to reach the maximum rank of 40.
</t>
        </r>
      </text>
    </comment>
    <comment ref="E59" authorId="0" shapeId="0" xr:uid="{00000000-0006-0000-0300-000032000000}">
      <text>
        <r>
          <rPr>
            <sz val="10"/>
            <color rgb="FF000000"/>
            <rFont val="Arial"/>
          </rPr>
          <t>Velox's components can be obtained from rotation C of the 3 tiers of the Grannum Void.</t>
        </r>
      </text>
    </comment>
    <comment ref="E61" authorId="0" shapeId="0" xr:uid="{00000000-0006-0000-0300-000033000000}">
      <text>
        <r>
          <rPr>
            <sz val="10"/>
            <color rgb="FF000000"/>
            <rFont val="Arial"/>
          </rPr>
          <t>Component to craft the Twin Vipers
2 are needed
Component to craft the Hystrix
Only 1 needed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O3" authorId="0" shapeId="0" xr:uid="{00000000-0006-0000-0400-000001000000}">
      <text>
        <r>
          <rPr>
            <sz val="10"/>
            <color rgb="FF000000"/>
            <rFont val="Arial"/>
          </rPr>
          <t>Alternatively they can be purchased from Koumei's Shrine in Cetus with  Fate Pearl, which are dropped by the Infested Oni at the end of Shrine Defense in quantities of 14-18 (20-24 on The Steel Path). Each component blueprint require 45 and the main blueprint requires 135, totaling 270 Fate Pearls for the whole set.</t>
        </r>
      </text>
    </comment>
    <comment ref="E4" authorId="0" shapeId="0" xr:uid="{00000000-0006-0000-0400-000002000000}">
      <text>
        <r>
          <rPr>
            <sz val="10"/>
            <color rgb="FF000000"/>
            <rFont val="Arial"/>
          </rPr>
          <t xml:space="preserve">Acquired already crafted and equipped with an Orokin Catalyst
The BP is also dropped by Stalker after the quest
Component to craft the War
UNSOLICITED ADVICE:
DO NOT USE THE ONE RECEIVED IN THE QUEST TO CRAFT WAR
(Because War is not that good, and the one from the quest comes pre-equipped with a Catalyst)
</t>
        </r>
      </text>
    </comment>
    <comment ref="O4" authorId="0" shapeId="0" xr:uid="{00000000-0006-0000-0400-000003000000}">
      <text>
        <r>
          <rPr>
            <sz val="10"/>
            <color rgb="FF000000"/>
            <rFont val="Arial"/>
          </rPr>
          <t>Component to craft the Sydon</t>
        </r>
      </text>
    </comment>
    <comment ref="O5" authorId="0" shapeId="0" xr:uid="{00000000-0006-0000-0400-000004000000}">
      <text>
        <r>
          <rPr>
            <sz val="10"/>
            <color rgb="FF000000"/>
            <rFont val="Arial"/>
          </rPr>
          <t>Component to craft the Cadus
Component to craft the Tipedo
Also requires Kunai (Secondary Weapon)
Tipedo is used to craft the Lesion</t>
        </r>
      </text>
    </comment>
    <comment ref="T6" authorId="0" shapeId="0" xr:uid="{00000000-0006-0000-0400-000005000000}">
      <text>
        <r>
          <rPr>
            <sz val="10"/>
            <color rgb="FF000000"/>
            <rFont val="Arial"/>
          </rPr>
          <t>Alternatively, the blueprints can also be purchased from Ordis in the Drifter's Camp for 300  Vestigial Motes, awarded from Ascension in quantities of 11-13 (16-18 on The Steel Path) from mission completion and 5-7 (8-10 on The Steel Path) from the optional Sisters of Parvos objective.</t>
        </r>
      </text>
    </comment>
    <comment ref="O7" authorId="0" shapeId="0" xr:uid="{00000000-0006-0000-0400-000006000000}">
      <text>
        <r>
          <rPr>
            <sz val="10"/>
            <color rgb="FF000000"/>
            <rFont val="Arial"/>
          </rPr>
          <t>Requires Bo as component to craft</t>
        </r>
      </text>
    </comment>
    <comment ref="E8" authorId="0" shapeId="0" xr:uid="{00000000-0006-0000-0400-000007000000}">
      <text>
        <r>
          <rPr>
            <sz val="10"/>
            <color rgb="FF000000"/>
            <rFont val="Arial"/>
          </rPr>
          <t>Requires Nikana as component to craft</t>
        </r>
      </text>
    </comment>
    <comment ref="E12" authorId="0" shapeId="0" xr:uid="{00000000-0006-0000-0400-000008000000}">
      <text>
        <r>
          <rPr>
            <sz val="10"/>
            <color rgb="FF000000"/>
            <rFont val="Arial"/>
          </rPr>
          <t>Component to craft the Twin Krohkur
2 are needed</t>
        </r>
      </text>
    </comment>
    <comment ref="O13" authorId="0" shapeId="0" xr:uid="{00000000-0006-0000-0400-000009000000}">
      <text>
        <r>
          <rPr>
            <sz val="10"/>
            <color rgb="FF000000"/>
            <rFont val="Arial"/>
          </rPr>
          <t>Requires Tipedo as component to craft
Tipedo requires Bo &amp; Kunai (Secondary weapons)</t>
        </r>
      </text>
    </comment>
    <comment ref="E14" authorId="0" shapeId="0" xr:uid="{00000000-0006-0000-0400-00000A000000}">
      <text>
        <r>
          <rPr>
            <sz val="10"/>
            <color rgb="FF000000"/>
            <rFont val="Arial"/>
          </rPr>
          <t>Component to craft the Dragon Nikana</t>
        </r>
      </text>
    </comment>
    <comment ref="T14" authorId="0" shapeId="0" xr:uid="{00000000-0006-0000-0400-00000B000000}">
      <text>
        <r>
          <rPr>
            <sz val="10"/>
            <color rgb="FF000000"/>
            <rFont val="Arial"/>
          </rPr>
          <t>Requires Gammacor (Secondary Weapon) as component to craft</t>
        </r>
      </text>
    </comment>
    <comment ref="T16" authorId="0" shapeId="0" xr:uid="{00000000-0006-0000-0400-00000C000000}">
      <text>
        <r>
          <rPr>
            <sz val="10"/>
            <color rgb="FF000000"/>
            <rFont val="Arial"/>
          </rPr>
          <t>Component to craft the Sibear</t>
        </r>
      </text>
    </comment>
    <comment ref="O17" authorId="0" shapeId="0" xr:uid="{00000000-0006-0000-0400-00000D000000}">
      <text>
        <r>
          <rPr>
            <sz val="10"/>
            <color rgb="FF000000"/>
            <rFont val="Arial"/>
          </rPr>
          <t>Requires Amphis as component to craft</t>
        </r>
      </text>
    </comment>
    <comment ref="O18" authorId="0" shapeId="0" xr:uid="{00000000-0006-0000-0400-00000E000000}">
      <text>
        <r>
          <rPr>
            <sz val="10"/>
            <color rgb="FF000000"/>
            <rFont val="Arial"/>
          </rPr>
          <t>Requires Bo as component to craft
Requires Kunai (Secondary Weapon) as component to craft
Component to craft the Lesion</t>
        </r>
      </text>
    </comment>
    <comment ref="T19" authorId="0" shapeId="0" xr:uid="{00000000-0006-0000-0400-00000F000000}">
      <text>
        <r>
          <rPr>
            <sz val="10"/>
            <color rgb="FF000000"/>
            <rFont val="Arial"/>
          </rPr>
          <t>Requires Magistar as component to craft
Also 30000 Cryotic, so good luck to you</t>
        </r>
      </text>
    </comment>
    <comment ref="E20" authorId="0" shapeId="0" xr:uid="{00000000-0006-0000-0400-000010000000}">
      <text>
        <r>
          <rPr>
            <sz val="10"/>
            <color rgb="FF000000"/>
            <rFont val="Arial"/>
          </rPr>
          <t>Mastery for Skiajati is gained as soon as you obtain the weapon.</t>
        </r>
      </text>
    </comment>
    <comment ref="J20" authorId="0" shapeId="0" xr:uid="{00000000-0006-0000-0400-000011000000}">
      <text>
        <r>
          <rPr>
            <sz val="10"/>
            <color rgb="FF000000"/>
            <rFont val="Arial"/>
          </rPr>
          <t>Component to craft the Dual Kamas
Dual Kama is a component to craft the Dual Raza</t>
        </r>
      </text>
    </comment>
    <comment ref="E27" authorId="0" shapeId="0" xr:uid="{00000000-0006-0000-0400-000012000000}">
      <text>
        <r>
          <rPr>
            <sz val="10"/>
            <color rgb="FF000000"/>
            <rFont val="Arial"/>
          </rPr>
          <t>Component for the Ripkas
Also requires Ankyros</t>
        </r>
      </text>
    </comment>
    <comment ref="T29" authorId="0" shapeId="0" xr:uid="{00000000-0006-0000-0400-000013000000}">
      <text>
        <r>
          <rPr>
            <sz val="10"/>
            <color rgb="FF000000"/>
            <rFont val="Arial"/>
          </rPr>
          <t>Requires Ankyros as component to craft
Requires Dual Cleavers as component to craft</t>
        </r>
      </text>
    </comment>
    <comment ref="E31" authorId="0" shapeId="0" xr:uid="{00000000-0006-0000-0400-000014000000}">
      <text>
        <r>
          <rPr>
            <sz val="10"/>
            <color rgb="FF000000"/>
            <rFont val="Arial"/>
          </rPr>
          <t>Requires 2 Kamas as component to craft
Component to craft the Dual Raza</t>
        </r>
      </text>
    </comment>
    <comment ref="J31" authorId="0" shapeId="0" xr:uid="{00000000-0006-0000-0400-000015000000}">
      <text>
        <r>
          <rPr>
            <sz val="10"/>
            <color rgb="FF000000"/>
            <rFont val="Arial"/>
          </rPr>
          <t>Component to craft the Tekko
Component for the Ripkas
Also requires Dual Cleavers</t>
        </r>
      </text>
    </comment>
    <comment ref="J32" authorId="0" shapeId="0" xr:uid="{00000000-0006-0000-0400-000016000000}">
      <text>
        <r>
          <rPr>
            <sz val="10"/>
            <color rgb="FF000000"/>
            <rFont val="Arial"/>
          </rPr>
          <t>Component to craft the Knux (Arch Melee)</t>
        </r>
      </text>
    </comment>
    <comment ref="E33" authorId="0" shapeId="0" xr:uid="{00000000-0006-0000-0400-000017000000}">
      <text>
        <r>
          <rPr>
            <sz val="10"/>
            <color rgb="FF000000"/>
            <rFont val="Arial"/>
          </rPr>
          <t>Requires Dual Kamas as component to craft
Dual Kamas requires 2 Kama to craft</t>
        </r>
      </text>
    </comment>
    <comment ref="O33" authorId="0" shapeId="0" xr:uid="{00000000-0006-0000-0400-000018000000}">
      <text>
        <r>
          <rPr>
            <sz val="10"/>
            <color rgb="FF000000"/>
            <rFont val="Arial"/>
          </rPr>
          <t>Alternatively, Scyotid's blueprints can be purchased from Acrithis or Dominus Thrax in the Dormizone, using  Scuttler Husk awarded from Isleweaver. Each component blueprint requires 12  and the main blueprint requires 48 , totaling 96  Scuttler Husks for the complete set.</t>
        </r>
      </text>
    </comment>
    <comment ref="E34" authorId="0" shapeId="0" xr:uid="{00000000-0006-0000-0400-000019000000}">
      <text>
        <r>
          <rPr>
            <sz val="10"/>
            <color rgb="FF000000"/>
            <rFont val="Arial"/>
          </rPr>
          <t>Component to craft the Akjagara
Also requires the Akbolto (Secondary weapon)
Component to craft the Dark Split-Sword
Component to craft the Redeemer
Also requires the Vasto (Secondary weapon)</t>
        </r>
      </text>
    </comment>
    <comment ref="J34" authorId="0" shapeId="0" xr:uid="{00000000-0006-0000-0400-00001A000000}">
      <text>
        <r>
          <rPr>
            <sz val="10"/>
            <color rgb="FF000000"/>
            <rFont val="Arial"/>
          </rPr>
          <t>Requires Kogake as component to craft</t>
        </r>
      </text>
    </comment>
    <comment ref="J35" authorId="0" shapeId="0" xr:uid="{00000000-0006-0000-0400-00001B000000}">
      <text>
        <r>
          <rPr>
            <sz val="10"/>
            <color rgb="FF000000"/>
            <rFont val="Arial"/>
          </rPr>
          <t>Component to craft the Hirudo</t>
        </r>
      </text>
    </comment>
    <comment ref="E36" authorId="0" shapeId="0" xr:uid="{00000000-0006-0000-0400-00001C000000}">
      <text>
        <r>
          <rPr>
            <sz val="10"/>
            <color rgb="FF000000"/>
            <rFont val="Arial"/>
          </rPr>
          <t>Component to craft the Twin Basolk
Also requires Atomos (Secondary Weapon)</t>
        </r>
      </text>
    </comment>
    <comment ref="J36" authorId="0" shapeId="0" xr:uid="{00000000-0006-0000-0400-00001D000000}">
      <text>
        <r>
          <rPr>
            <sz val="10"/>
            <color rgb="FF000000"/>
            <rFont val="Arial"/>
          </rPr>
          <t>Tusk Thumper Bull and Tusk Thumper Doma only.</t>
        </r>
      </text>
    </comment>
    <comment ref="E39" authorId="0" shapeId="0" xr:uid="{00000000-0006-0000-0400-00001E000000}">
      <text>
        <r>
          <rPr>
            <sz val="10"/>
            <color rgb="FF000000"/>
            <rFont val="Arial"/>
          </rPr>
          <t>Requires Dual Zoren as component to craft
Requires Atomos (Secondary Weapon) as component to craft</t>
        </r>
      </text>
    </comment>
    <comment ref="J39" authorId="0" shapeId="0" xr:uid="{00000000-0006-0000-0400-00001F000000}">
      <text>
        <r>
          <rPr>
            <sz val="10"/>
            <color rgb="FF000000"/>
            <rFont val="Arial"/>
          </rPr>
          <t>B rotation potential reward
Alternatively the component blueprints can be purchased from Loid in Sanctum Anatomica with  Vessel Capillaries, which are dropped by the Disruption's Demolishers in this same mission.
360 total would be needed to buy all the blueprints</t>
        </r>
      </text>
    </comment>
    <comment ref="E40" authorId="0" shapeId="0" xr:uid="{00000000-0006-0000-0400-000020000000}">
      <text>
        <r>
          <rPr>
            <sz val="10"/>
            <color rgb="FF000000"/>
            <rFont val="Arial"/>
          </rPr>
          <t>Requires 2 Krohkur as component to craft</t>
        </r>
      </text>
    </comment>
    <comment ref="J40" authorId="0" shapeId="0" xr:uid="{00000000-0006-0000-0400-000021000000}">
      <text>
        <r>
          <rPr>
            <sz val="10"/>
            <color rgb="FF000000"/>
            <rFont val="Arial"/>
          </rPr>
          <t>Requires Ankyros as component to craft</t>
        </r>
      </text>
    </comment>
    <comment ref="E43" authorId="0" shapeId="0" xr:uid="{00000000-0006-0000-0400-000022000000}">
      <text>
        <r>
          <rPr>
            <sz val="10"/>
            <color rgb="FF000000"/>
            <rFont val="Arial"/>
          </rPr>
          <t>Requires Dual Skana as component to craft</t>
        </r>
      </text>
    </comment>
    <comment ref="E44" authorId="0" shapeId="0" xr:uid="{00000000-0006-0000-0400-000023000000}">
      <text>
        <r>
          <rPr>
            <sz val="10"/>
            <color rgb="FF000000"/>
            <rFont val="Arial"/>
          </rPr>
          <t>Component to craft the Paracesis</t>
        </r>
      </text>
    </comment>
    <comment ref="O44" authorId="0" shapeId="0" xr:uid="{00000000-0006-0000-0400-000024000000}">
      <text>
        <r>
          <rPr>
            <sz val="10"/>
            <color rgb="FF000000"/>
            <rFont val="Arial"/>
          </rPr>
          <t>Component parts are dropped by:
- Blade: Kuva Guardians
- Disc: Kuva Jesters</t>
        </r>
      </text>
    </comment>
    <comment ref="T45" authorId="0" shapeId="0" xr:uid="{00000000-0006-0000-0400-000025000000}">
      <text>
        <r>
          <rPr>
            <sz val="10"/>
            <color rgb="FF000000"/>
            <rFont val="Arial"/>
          </rPr>
          <t>Galariak Prime's main and component blueprints are obtained from Rotation A of The Perita Rebellion, available after completing The Old Peace quest.
Alternatively Galariak Prime's blueprints can be purchased from Roathe in La Cathėdrale, Sanctum Anatomica for  Maphica obtained in The Descendia. Each component blueprint requires 25 and the main blueprint requires 35, totaling 85 Maphica for the whole set.</t>
        </r>
      </text>
    </comment>
    <comment ref="J46" authorId="0" shapeId="0" xr:uid="{00000000-0006-0000-0400-000026000000}">
      <text>
        <r>
          <rPr>
            <sz val="10"/>
            <color rgb="FF000000"/>
            <rFont val="Arial"/>
          </rPr>
          <t>You can choose this weapon as your reward at the Milestone days listed. Once chosen it may not be chosen again.</t>
        </r>
      </text>
    </comment>
    <comment ref="B47" authorId="0" shapeId="0" xr:uid="{00000000-0006-0000-0400-000027000000}">
      <text>
        <r>
          <rPr>
            <sz val="10"/>
            <color rgb="FF000000"/>
            <rFont val="Arial"/>
          </rPr>
          <t>Paracesis' max rank caps at 40 after 5 polarizations (2 ranks added to the max for each Forma).</t>
        </r>
      </text>
    </comment>
    <comment ref="E47" authorId="0" shapeId="0" xr:uid="{00000000-0006-0000-0400-000028000000}">
      <text>
        <r>
          <rPr>
            <sz val="10"/>
            <color rgb="FF000000"/>
            <rFont val="Arial"/>
          </rPr>
          <t>Requires Ankyros as component to craft</t>
        </r>
      </text>
    </comment>
    <comment ref="J48" authorId="0" shapeId="0" xr:uid="{00000000-0006-0000-0400-000029000000}">
      <text>
        <r>
          <rPr>
            <sz val="10"/>
            <color rgb="FF000000"/>
            <rFont val="Arial"/>
          </rPr>
          <t>Dropped by the Ghoul Augers and Ghoul Devourers</t>
        </r>
      </text>
    </comment>
    <comment ref="O48" authorId="0" shapeId="0" xr:uid="{00000000-0006-0000-0400-00002A000000}">
      <text>
        <r>
          <rPr>
            <sz val="10"/>
            <color rgb="FF000000"/>
            <rFont val="Arial"/>
          </rPr>
          <t>Requires Kronen as component to craft
Requires Boltor (Primary Weapon) as component to craft</t>
        </r>
      </text>
    </comment>
    <comment ref="O49" authorId="0" shapeId="0" xr:uid="{00000000-0006-0000-0400-00002B000000}">
      <text>
        <r>
          <rPr>
            <sz val="10"/>
            <color rgb="FF000000"/>
            <rFont val="Arial"/>
          </rPr>
          <t>Component to craft the Boltace
Also requires Boltor (Primary Weapon)</t>
        </r>
      </text>
    </comment>
    <comment ref="O50" authorId="0" shapeId="0" xr:uid="{00000000-0006-0000-0400-00002C000000}">
      <text>
        <r>
          <rPr>
            <sz val="10"/>
            <color rgb="FF000000"/>
            <rFont val="Arial"/>
          </rPr>
          <t>Component to craft the Shaku</t>
        </r>
      </text>
    </comment>
    <comment ref="J51" authorId="0" shapeId="0" xr:uid="{00000000-0006-0000-0400-00002D000000}">
      <text>
        <r>
          <rPr>
            <sz val="10"/>
            <color rgb="FF000000"/>
            <rFont val="Arial"/>
          </rPr>
          <t>Requires Dual Skana as component to craft
Requires Vasto (Secondary Weapon) as component to craft</t>
        </r>
      </text>
    </comment>
    <comment ref="E52" authorId="0" shapeId="0" xr:uid="{00000000-0006-0000-0400-00002E000000}">
      <text>
        <r>
          <rPr>
            <sz val="10"/>
            <color rgb="FF000000"/>
            <rFont val="Arial"/>
          </rPr>
          <t>Also dropped by Jade Stalker
Requires Broken War as component to craft
UNSOLICITED ADVICE:
DO NOT USE THE BROKEN WAR RECEIVED IN THE QUEST TO CRAFT WAR
(Because War is not that good, and the one from the quest comes pre-equipped with a Catalyst)</t>
        </r>
      </text>
    </comment>
    <comment ref="J52" authorId="0" shapeId="0" xr:uid="{00000000-0006-0000-0400-00002F000000}">
      <text>
        <r>
          <rPr>
            <sz val="10"/>
            <color rgb="FF000000"/>
            <rFont val="Arial"/>
          </rPr>
          <t>Requires Akstilleto (Secondary Weapon) as component to craft</t>
        </r>
      </text>
    </comment>
    <comment ref="E53" authorId="0" shapeId="0" xr:uid="{00000000-0006-0000-0400-000030000000}">
      <text>
        <r>
          <rPr>
            <sz val="10"/>
            <color rgb="FF000000"/>
            <rFont val="Arial"/>
          </rPr>
          <t>You can choose this weapon as your reward at the Milestone days listed. Once chosen it may not be chosen again.</t>
        </r>
      </text>
    </comment>
    <comment ref="J53" authorId="0" shapeId="0" xr:uid="{00000000-0006-0000-0400-000031000000}">
      <text>
        <r>
          <rPr>
            <sz val="10"/>
            <color rgb="FF000000"/>
            <rFont val="Arial"/>
          </rPr>
          <t>Stropha's components can be obtained from rotation C of the 3 tiers of the Grannum Void.</t>
        </r>
      </text>
    </comment>
    <comment ref="J54" authorId="0" shapeId="0" xr:uid="{00000000-0006-0000-0400-000032000000}">
      <text>
        <r>
          <rPr>
            <sz val="10"/>
            <color rgb="FF000000"/>
            <rFont val="Arial"/>
          </rPr>
          <t>Stropha's components can be obtained from rotation C of the 3 tiers of the Grannum Void.</t>
        </r>
      </text>
    </comment>
    <comment ref="B55" authorId="0" shapeId="0" xr:uid="{00000000-0006-0000-0400-000033000000}">
      <text>
        <r>
          <rPr>
            <sz val="10"/>
            <color rgb="FF000000"/>
            <rFont val="Arial"/>
          </rPr>
          <t>Zaws are unique among melee weapons, they do not count for mastery until they have been gilded (leveled to rank 30, then spend 5000 standing with Hok).</t>
        </r>
      </text>
    </comment>
    <comment ref="O55" authorId="0" shapeId="0" xr:uid="{00000000-0006-0000-0400-000034000000}">
      <text>
        <r>
          <rPr>
            <sz val="10"/>
            <color rgb="FF000000"/>
            <rFont val="Arial"/>
          </rPr>
          <t>Requires Ninkondi as component to craft</t>
        </r>
      </text>
    </comment>
    <comment ref="O56" authorId="0" shapeId="0" xr:uid="{00000000-0006-0000-0400-000035000000}">
      <text>
        <r>
          <rPr>
            <sz val="10"/>
            <color rgb="FF000000"/>
            <rFont val="Arial"/>
          </rPr>
          <t>Dropped by the Ghoul Expired and Ghoul Rictus</t>
        </r>
      </text>
    </comment>
    <comment ref="J57" authorId="0" shapeId="0" xr:uid="{00000000-0006-0000-0400-000036000000}">
      <text>
        <r>
          <rPr>
            <sz val="10"/>
            <color rgb="FF000000"/>
            <rFont val="Arial"/>
          </rPr>
          <t>Main blueprint also available for purchase for Necraloid standing</t>
        </r>
      </text>
    </comment>
    <comment ref="L63" authorId="0" shapeId="0" xr:uid="{00000000-0006-0000-0400-000037000000}">
      <text>
        <r>
          <rPr>
            <sz val="10"/>
            <color rgb="FF000000"/>
            <rFont val="Arial"/>
          </rPr>
          <t>Vanquishing a Technocyte Coda drops Live Heartcells, 10 of which can be used to purchase Coda weapons from Eleanor.
Need 5 formas to reach the maximum rank of 40.</t>
        </r>
      </text>
    </comment>
    <comment ref="T65" authorId="0" shapeId="0" xr:uid="{00000000-0006-0000-0400-000038000000}">
      <text>
        <r>
          <rPr>
            <sz val="10"/>
            <color rgb="FF000000"/>
            <rFont val="Arial"/>
          </rPr>
          <t>Permanently unvaulted, with relics being obtainable through Abandoned Derelict Caches in Corpus Railjack missions</t>
        </r>
      </text>
    </comment>
    <comment ref="J68" authorId="0" shapeId="0" xr:uid="{00000000-0006-0000-0400-000039000000}">
      <text>
        <r>
          <rPr>
            <sz val="10"/>
            <color rgb="FF000000"/>
            <rFont val="Arial"/>
          </rPr>
          <t>Purchased from Acrithis or Dominus Thrax in the Dormizone for 96  Scuttler Husk awarded from Isleweaver in Duviri.</t>
        </r>
      </text>
    </comment>
    <comment ref="T71" authorId="0" shapeId="0" xr:uid="{00000000-0006-0000-0400-00003A000000}">
      <text>
        <r>
          <rPr>
            <sz val="10"/>
            <color rgb="FF000000"/>
            <rFont val="Arial"/>
          </rPr>
          <t>Permanently unvaulted, with relics being obtainable through Abandoned Derelict Caches in Corpus Railjack missions</t>
        </r>
      </text>
    </comment>
    <comment ref="Q74" authorId="0" shapeId="0" xr:uid="{00000000-0006-0000-0400-00003B000000}">
      <text>
        <r>
          <rPr>
            <sz val="10"/>
            <color rgb="FF000000"/>
            <rFont val="Arial"/>
          </rPr>
          <t xml:space="preserve">Kuva weapons are obtained by killing your personnal Kuva lich.
You need to complete the War Within Quest to make Kuva larvling spawn.
Need 5 formas to reach the maximum rank of 40.
</t>
        </r>
      </text>
    </comment>
    <comment ref="Q80" authorId="0" shapeId="0" xr:uid="{00000000-0006-0000-0400-00003C000000}">
      <text>
        <r>
          <rPr>
            <sz val="10"/>
            <color rgb="FF000000"/>
            <rFont val="Arial"/>
          </rPr>
          <t xml:space="preserve">Tenet weapons are obtained by killing your personnal Sisters of Parvos.
Need 5 formas to reach the maximum rank of 40.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E12" authorId="0" shapeId="0" xr:uid="{00000000-0006-0000-0500-000001000000}">
      <text>
        <r>
          <rPr>
            <sz val="10"/>
            <color rgb="FF000000"/>
            <rFont val="Arial"/>
          </rPr>
          <t>Taxon's blueprint is also obtained by completing the Venus Junction.</t>
        </r>
      </text>
    </comment>
    <comment ref="J13" authorId="0" shapeId="0" xr:uid="{00000000-0006-0000-0500-000002000000}">
      <text>
        <r>
          <rPr>
            <sz val="10"/>
            <color rgb="FF000000"/>
            <rFont val="Arial"/>
          </rPr>
          <t>Plains of Eidolon at night, find a pack of Vasca Kavat, and let them bite your Kavat.
The red aura indicate your Kavat is infected with the virus.
Create an imprint with your infected Kavat to cure him and create one Vasca Kavat imprint.</t>
        </r>
      </text>
    </comment>
    <comment ref="G17" authorId="0" shapeId="0" xr:uid="{00000000-0006-0000-0500-000003000000}">
      <text>
        <r>
          <rPr>
            <sz val="10"/>
            <color rgb="FF000000"/>
            <rFont val="Arial"/>
          </rPr>
          <t>Moas are unique among companions, they do not count for mastery until they have been gilded (leveled to rank 30, then spend 5000 standing and 10 Shelter Bonds with Legs).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E6" authorId="0" shapeId="0" xr:uid="{00000000-0006-0000-0600-000001000000}">
      <text>
        <r>
          <rPr>
            <sz val="10"/>
            <color rgb="FF000000"/>
            <rFont val="Arial"/>
          </rPr>
          <t>Odonata's main blueprint and all component blueprints are obtained as the quest progresses.</t>
        </r>
      </text>
    </comment>
    <comment ref="E11" authorId="0" shapeId="0" xr:uid="{00000000-0006-0000-0600-000002000000}">
      <text>
        <r>
          <rPr>
            <sz val="10"/>
            <color rgb="FF000000"/>
            <rFont val="Arial"/>
          </rPr>
          <t>Baro Ki'Teer will occasionally sell relics containing this items blueprints</t>
        </r>
      </text>
    </comment>
    <comment ref="E14" authorId="0" shapeId="0" xr:uid="{00000000-0006-0000-0600-000003000000}">
      <text>
        <r>
          <rPr>
            <sz val="10"/>
            <color rgb="FF000000"/>
            <rFont val="Arial"/>
          </rPr>
          <t>Alternatively Arbucep's blueprints can be purchased from Nightcap in Fortuna with Fergolyte from Deepmines Bounties. Each component blueprint requires 150 and the main blueprint requires 220, totaling 670 Fergolytes for the whole set. Players must be at Rank 3 - Seeker with Nightcap in order to purchase.</t>
        </r>
      </text>
    </comment>
    <comment ref="E15" authorId="0" shapeId="0" xr:uid="{00000000-0006-0000-0600-000004000000}">
      <text>
        <r>
          <rPr>
            <sz val="10"/>
            <color rgb="FF000000"/>
            <rFont val="Arial"/>
          </rPr>
          <t>Components obtained from:
- Barrel: Arbiters of Hexis
- Receiver: Cephalon Suda
- Stock: Steel Meridian</t>
        </r>
      </text>
    </comment>
    <comment ref="E17" authorId="0" shapeId="0" xr:uid="{00000000-0006-0000-0600-000005000000}">
      <text>
        <r>
          <rPr>
            <sz val="10"/>
            <color rgb="FF000000"/>
            <rFont val="Arial"/>
          </rPr>
          <t>Components obtained from:
- Barrel: Arbiters of Hexis
- Receiver: Cephalon Suda
- Stock: Perrin Sequence</t>
        </r>
      </text>
    </comment>
    <comment ref="E18" authorId="0" shapeId="0" xr:uid="{00000000-0006-0000-0600-000006000000}">
      <text>
        <r>
          <rPr>
            <sz val="10"/>
            <color rgb="FF000000"/>
            <rFont val="Arial"/>
          </rPr>
          <t>Components obtained from:
- Barrel: Arbiters of Hexis
- Receiver: Cephalon Suda</t>
        </r>
      </text>
    </comment>
    <comment ref="E19" authorId="0" shapeId="0" xr:uid="{00000000-0006-0000-0600-000007000000}">
      <text>
        <r>
          <rPr>
            <sz val="10"/>
            <color rgb="FF000000"/>
            <rFont val="Arial"/>
          </rPr>
          <t>Components obtained from:
- Barrel: Cephalon Suda
- Receiver: Steel Meridian
- Stock: Red Veil</t>
        </r>
      </text>
    </comment>
    <comment ref="E27" authorId="0" shapeId="0" xr:uid="{00000000-0006-0000-0600-000008000000}">
      <text>
        <r>
          <rPr>
            <sz val="10"/>
            <color rgb="FF000000"/>
            <rFont val="Arial"/>
          </rPr>
          <t>Components obtained from:
- Barrel: Arbiters of Hexis
- Receiver: Perrin Sequence
- Stock: New Loka</t>
        </r>
      </text>
    </comment>
    <comment ref="E29" authorId="0" shapeId="0" xr:uid="{00000000-0006-0000-0600-000009000000}">
      <text>
        <r>
          <rPr>
            <sz val="10"/>
            <color rgb="FF000000"/>
            <rFont val="Arial"/>
          </rPr>
          <t>Components obtained from:
- Barrel: Cephalon Suda
- Receiver: Steel Meridian
- Stock: Red Veil</t>
        </r>
      </text>
    </comment>
    <comment ref="E36" authorId="0" shapeId="0" xr:uid="{00000000-0006-0000-0600-00000A000000}">
      <text>
        <r>
          <rPr>
            <sz val="10"/>
            <color rgb="FF000000"/>
            <rFont val="Arial"/>
          </rPr>
          <t>Components obtained from:
- Blade: New Loka
- Handle: Red Veil
- Guard: Steel Meridian</t>
        </r>
      </text>
    </comment>
    <comment ref="E37" authorId="0" shapeId="0" xr:uid="{00000000-0006-0000-0600-00000B000000}">
      <text>
        <r>
          <rPr>
            <sz val="10"/>
            <color rgb="FF000000"/>
            <rFont val="Arial"/>
          </rPr>
          <t>Components obtained from:
- Blade: Perrin Sequence
- Handle: New Loka
- Aegis: Arbiters of Hexis</t>
        </r>
      </text>
    </comment>
    <comment ref="E38" authorId="0" shapeId="0" xr:uid="{00000000-0006-0000-0600-00000C000000}">
      <text>
        <r>
          <rPr>
            <sz val="10"/>
            <color rgb="FF000000"/>
            <rFont val="Arial"/>
          </rPr>
          <t>Components obtained from:
- Blade: Red Veil
- Handle: Steel Meridian</t>
        </r>
      </text>
    </comment>
    <comment ref="E39" authorId="0" shapeId="0" xr:uid="{00000000-0006-0000-0600-00000D000000}">
      <text>
        <r>
          <rPr>
            <sz val="10"/>
            <color rgb="FF000000"/>
            <rFont val="Arial"/>
          </rPr>
          <t>Requires Furax as component to craft</t>
        </r>
      </text>
    </comment>
    <comment ref="E40" authorId="0" shapeId="0" xr:uid="{00000000-0006-0000-0600-00000E000000}">
      <text>
        <r>
          <rPr>
            <sz val="10"/>
            <color rgb="FF000000"/>
            <rFont val="Arial"/>
          </rPr>
          <t>Components obtained from:
- Blade: New Loka
- Handle: Perrin Sequence</t>
        </r>
      </text>
    </comment>
    <comment ref="E42" authorId="0" shapeId="0" xr:uid="{00000000-0006-0000-0600-00000F000000}">
      <text>
        <r>
          <rPr>
            <sz val="10"/>
            <color rgb="FF000000"/>
            <rFont val="Arial"/>
          </rPr>
          <t>Components obtained from:
- Blade: New Loka
- Handle: Red Veil</t>
        </r>
      </text>
    </comment>
    <comment ref="E47" authorId="0" shapeId="0" xr:uid="{00000000-0006-0000-0600-000010000000}">
      <text>
        <r>
          <rPr>
            <sz val="10"/>
            <color rgb="FF000000"/>
            <rFont val="Arial"/>
          </rPr>
          <t>The blueprint for this component is received by completing the "Dead Drop" K-Drive Race.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700-000001000000}">
      <text>
        <r>
          <rPr>
            <sz val="10"/>
            <color rgb="FF000000"/>
            <rFont val="Arial"/>
          </rPr>
          <t>Amps do not count for mastery until they have been gilded (leveled to rank 30, then spend 5000 standing with Onkko).</t>
        </r>
      </text>
    </comment>
    <comment ref="E3" authorId="0" shapeId="0" xr:uid="{00000000-0006-0000-0700-000002000000}">
      <text>
        <r>
          <rPr>
            <sz val="10"/>
            <color rgb="FF000000"/>
            <rFont val="Arial"/>
          </rPr>
          <t>Requires Rank 2: Agent</t>
        </r>
      </text>
    </comment>
    <comment ref="E4" authorId="0" shapeId="0" xr:uid="{00000000-0006-0000-0700-000003000000}">
      <text>
        <r>
          <rPr>
            <sz val="10"/>
            <color rgb="FF000000"/>
            <rFont val="Arial"/>
          </rPr>
          <t>Requires Rank 3: Adherent</t>
        </r>
      </text>
    </comment>
    <comment ref="E5" authorId="0" shapeId="0" xr:uid="{00000000-0006-0000-0700-000004000000}">
      <text>
        <r>
          <rPr>
            <sz val="10"/>
            <color rgb="FF000000"/>
            <rFont val="Arial"/>
          </rPr>
          <t>Requires Rank 4: Instrument</t>
        </r>
      </text>
    </comment>
    <comment ref="E6" authorId="0" shapeId="0" xr:uid="{00000000-0006-0000-0700-000005000000}">
      <text>
        <r>
          <rPr>
            <sz val="10"/>
            <color rgb="FF000000"/>
            <rFont val="Arial"/>
          </rPr>
          <t>Requires Rank 3: Hand</t>
        </r>
      </text>
    </comment>
    <comment ref="E7" authorId="0" shapeId="0" xr:uid="{00000000-0006-0000-0700-000006000000}">
      <text>
        <r>
          <rPr>
            <sz val="10"/>
            <color rgb="FF000000"/>
            <rFont val="Arial"/>
          </rPr>
          <t>Obtained fully built after Saya's Vigil.
The Mote Amp blueprint can also be purchased from Onkko.</t>
        </r>
      </text>
    </comment>
    <comment ref="E8" authorId="0" shapeId="0" xr:uid="{00000000-0006-0000-0700-000007000000}">
      <text>
        <r>
          <rPr>
            <sz val="10"/>
            <color rgb="FF000000"/>
            <rFont val="Arial"/>
          </rPr>
          <t>Requires Rank 1: Mote</t>
        </r>
      </text>
    </comment>
    <comment ref="E9" authorId="0" shapeId="0" xr:uid="{00000000-0006-0000-0700-000008000000}">
      <text>
        <r>
          <rPr>
            <sz val="10"/>
            <color rgb="FF000000"/>
            <rFont val="Arial"/>
          </rPr>
          <t>Requires Rank 1: Mote</t>
        </r>
      </text>
    </comment>
    <comment ref="E10" authorId="0" shapeId="0" xr:uid="{00000000-0006-0000-0700-000009000000}">
      <text>
        <r>
          <rPr>
            <sz val="10"/>
            <color rgb="FF000000"/>
            <rFont val="Arial"/>
          </rPr>
          <t>Requires Rank 2: Observer</t>
        </r>
      </text>
    </comment>
  </commentList>
</comments>
</file>

<file path=xl/sharedStrings.xml><?xml version="1.0" encoding="utf-8"?>
<sst xmlns="http://schemas.openxmlformats.org/spreadsheetml/2006/main" count="2166" uniqueCount="1296">
  <si>
    <t>w</t>
  </si>
  <si>
    <r>
      <rPr>
        <sz val="14"/>
        <color rgb="FF000000"/>
        <rFont val="Arial"/>
      </rPr>
      <t xml:space="preserve">WARFRAME Mastery Checklist - Update 42 - </t>
    </r>
    <r>
      <rPr>
        <b/>
        <sz val="14"/>
        <color rgb="FFFF0000"/>
        <rFont val="Arial"/>
      </rPr>
      <t>Feel free to make a copy</t>
    </r>
  </si>
  <si>
    <t>Important:</t>
  </si>
  <si>
    <t>Original layout by /u/Sekwah, adjusted by /u/Tykras. Updated for 26.1 by /u/FrToast. Updated for 30.0 by Xenotater</t>
  </si>
  <si>
    <t>The Wiki</t>
  </si>
  <si>
    <t>https://wiki.warframe.com/</t>
  </si>
  <si>
    <t>I suggest using Google Chrome to visualize this sheet at 100% zoom and 1920x1080 resolution</t>
  </si>
  <si>
    <t>Recent Additions: Update 35 Dante Unbound</t>
  </si>
  <si>
    <t>Re-edited by wulfhart and DitzybDoo. Please message with any issues. Fixed some errors in weapon placement, and some masteries not counting</t>
  </si>
  <si>
    <t>Re-edited for U39 by /u/Vansceslas (because I needed a checklist and this was the prettiest I found). Some weird things were done and I did my best to fix things I saw were obviously wrong
No alterations were done to the Planets/Junctions because I have no idea what changed since U35 and I didn't want to be spoiled
Message me if there is something to fix
Updated to 39.1 (Caliban Prime, Venato Prime, Vadarya Prime) ; Added a Subsumed Column for Warframes
Updating the acquisitions methods for all items (Warframe and all Prime checked ; Weapon as component remarks added)
Updated for U40: The Vallis Undermind (Nokko, Thornbak, Arbucep, also Prime Archguns were not properly counted)
Updated for U41: The Old Peace (Uriel, Gyre Prime, Vinquibus, Alternox Prime, Kestrel Prime, Galariak Prime &amp; Sagek Prime. I also fixed a minor issue for the Coda &amp; Tenet Primary mastery calculations)
Updated for U42: The Shadowgrapher (Follie, Enkaus, Kuva Ghoulsaw, Tenet Quanta, Coda Bubonico, as well as some modifications to the "Acquisition" remarks, added Legendary Mastery Ranks).Later added Voruna Prime, Perigale Prime &amp; Sarofang Prime</t>
  </si>
  <si>
    <t>Mastery Rank</t>
  </si>
  <si>
    <t>Affinity Needed</t>
  </si>
  <si>
    <t>Planets</t>
  </si>
  <si>
    <t># Missions</t>
  </si>
  <si>
    <t>Completed</t>
  </si>
  <si>
    <t>Steel Path</t>
  </si>
  <si>
    <t>Junctions</t>
  </si>
  <si>
    <t>Item</t>
  </si>
  <si>
    <t>Owned</t>
  </si>
  <si>
    <t>Completion</t>
  </si>
  <si>
    <t>MR0</t>
  </si>
  <si>
    <t>Mercury</t>
  </si>
  <si>
    <t>Warframe</t>
  </si>
  <si>
    <t>MR1</t>
  </si>
  <si>
    <t>Venus</t>
  </si>
  <si>
    <t>Primary</t>
  </si>
  <si>
    <t>MR2</t>
  </si>
  <si>
    <t>Earth</t>
  </si>
  <si>
    <t>Mars</t>
  </si>
  <si>
    <t>Secondary</t>
  </si>
  <si>
    <t>MR3</t>
  </si>
  <si>
    <t>Lua</t>
  </si>
  <si>
    <t>Phobos</t>
  </si>
  <si>
    <t>Melee</t>
  </si>
  <si>
    <t>MR4</t>
  </si>
  <si>
    <t>Ceres</t>
  </si>
  <si>
    <t>Robotic</t>
  </si>
  <si>
    <t>MR5</t>
  </si>
  <si>
    <t>Deimos</t>
  </si>
  <si>
    <t>Jupiter</t>
  </si>
  <si>
    <t>Companion</t>
  </si>
  <si>
    <t>MR6</t>
  </si>
  <si>
    <t>Europa</t>
  </si>
  <si>
    <t>Vehicles</t>
  </si>
  <si>
    <t>MR7</t>
  </si>
  <si>
    <t>Saturn</t>
  </si>
  <si>
    <t>Arch-Gun</t>
  </si>
  <si>
    <t>MR8</t>
  </si>
  <si>
    <t>Uranus</t>
  </si>
  <si>
    <t>Arch-Melee</t>
  </si>
  <si>
    <t>MR9</t>
  </si>
  <si>
    <t>Neptune</t>
  </si>
  <si>
    <t>Amp</t>
  </si>
  <si>
    <t>MR10</t>
  </si>
  <si>
    <t>Pluto</t>
  </si>
  <si>
    <t>Total</t>
  </si>
  <si>
    <t>TOTAL</t>
  </si>
  <si>
    <t>MR11</t>
  </si>
  <si>
    <t>Sedna</t>
  </si>
  <si>
    <t>MR12</t>
  </si>
  <si>
    <t>Eris</t>
  </si>
  <si>
    <t>Intrinsics</t>
  </si>
  <si>
    <t>Mastery Total</t>
  </si>
  <si>
    <t>MR13</t>
  </si>
  <si>
    <t>Mastery</t>
  </si>
  <si>
    <t>Drifter Intrinsics</t>
  </si>
  <si>
    <t>Expected MR</t>
  </si>
  <si>
    <t>MR14</t>
  </si>
  <si>
    <t>MR15</t>
  </si>
  <si>
    <t>Solar Mastery Override</t>
  </si>
  <si>
    <t xml:space="preserve">Steel Path Mastery Override   </t>
  </si>
  <si>
    <t>MR16</t>
  </si>
  <si>
    <t>Kuva Fortress</t>
  </si>
  <si>
    <t>Enter Here--&gt;</t>
  </si>
  <si>
    <t xml:space="preserve">Enter Here--&gt;                        </t>
  </si>
  <si>
    <t>MR17</t>
  </si>
  <si>
    <t>Void</t>
  </si>
  <si>
    <t>MR18</t>
  </si>
  <si>
    <t>Zariman</t>
  </si>
  <si>
    <t>MR19</t>
  </si>
  <si>
    <t>Duviri</t>
  </si>
  <si>
    <t>MR20</t>
  </si>
  <si>
    <t>Rough Mastery</t>
  </si>
  <si>
    <t>MR21</t>
  </si>
  <si>
    <t>MR22</t>
  </si>
  <si>
    <t>Founder Items</t>
  </si>
  <si>
    <t>Acquired</t>
  </si>
  <si>
    <t>Mastered</t>
  </si>
  <si>
    <t>MR23</t>
  </si>
  <si>
    <t>Excalibur Prime</t>
  </si>
  <si>
    <t>MR24</t>
  </si>
  <si>
    <t>Lato Prime</t>
  </si>
  <si>
    <t>MR25</t>
  </si>
  <si>
    <t>Skana Prime</t>
  </si>
  <si>
    <t>MR26</t>
  </si>
  <si>
    <t>MR27</t>
  </si>
  <si>
    <t>Excalibur P. Complete</t>
  </si>
  <si>
    <t>MR28</t>
  </si>
  <si>
    <t>Other Founders Complete</t>
  </si>
  <si>
    <t>MR29</t>
  </si>
  <si>
    <t>Total Founders Items</t>
  </si>
  <si>
    <t>MR30</t>
  </si>
  <si>
    <t>Legendary 1</t>
  </si>
  <si>
    <t>Legendary 2</t>
  </si>
  <si>
    <t>Legendary 3</t>
  </si>
  <si>
    <t>Legendary 4</t>
  </si>
  <si>
    <t>Legendary 5</t>
  </si>
  <si>
    <t>Legendary 6</t>
  </si>
  <si>
    <t>Warframes</t>
  </si>
  <si>
    <t>Subsumed</t>
  </si>
  <si>
    <t>Method to Obtain</t>
  </si>
  <si>
    <t>Primes</t>
  </si>
  <si>
    <t>Ash</t>
  </si>
  <si>
    <t>Railjack - Circuit available</t>
  </si>
  <si>
    <t>Ash Prime</t>
  </si>
  <si>
    <t>Relics</t>
  </si>
  <si>
    <t>Atlas</t>
  </si>
  <si>
    <t>Quest: The Jordas Precept &amp;Jordas Golem Assa. - Circuit available</t>
  </si>
  <si>
    <t>Atlas Prime</t>
  </si>
  <si>
    <t>Banshee</t>
  </si>
  <si>
    <t>Clan:Tenno Lab</t>
  </si>
  <si>
    <t>Banshee Prime</t>
  </si>
  <si>
    <t>Umbra</t>
  </si>
  <si>
    <t>Baruuk</t>
  </si>
  <si>
    <t>Syndicate: Vox Solaris - Circuit available</t>
  </si>
  <si>
    <t>Baruuk Prime</t>
  </si>
  <si>
    <t>Caliban</t>
  </si>
  <si>
    <t>Narmer Bounties (Fortuna/Cetus)</t>
  </si>
  <si>
    <t>Caliban Prime</t>
  </si>
  <si>
    <t>Total Warframes</t>
  </si>
  <si>
    <t>Chroma</t>
  </si>
  <si>
    <t>Quest: The New Strange &amp; Junctions - Circuit available</t>
  </si>
  <si>
    <t>Chroma Prime</t>
  </si>
  <si>
    <t>Citrine</t>
  </si>
  <si>
    <t>Mirror Defense: Tyana Pass Mars</t>
  </si>
  <si>
    <t>Ember Prime</t>
  </si>
  <si>
    <t>Cyte-09</t>
  </si>
  <si>
    <t>Quest: The Hex &amp; Höllvania Bounties</t>
  </si>
  <si>
    <t>Equinox Prime</t>
  </si>
  <si>
    <t>Dagath</t>
  </si>
  <si>
    <t>Clan: Dagath's Hollow</t>
  </si>
  <si>
    <t>Frost Prime</t>
  </si>
  <si>
    <t>Dante</t>
  </si>
  <si>
    <t>Mission: Disruption (Deimos, Armatus)</t>
  </si>
  <si>
    <t>Gara Prime</t>
  </si>
  <si>
    <t>Ember</t>
  </si>
  <si>
    <t>Boss: Gen. Sargas Ruk (Saturn) - Circuit available</t>
  </si>
  <si>
    <t>Garuda Prime</t>
  </si>
  <si>
    <t>Equinox</t>
  </si>
  <si>
    <t>Boss: Tyl Regor (Uranus)</t>
  </si>
  <si>
    <t>Gauss Prime</t>
  </si>
  <si>
    <t>Excalibur</t>
  </si>
  <si>
    <t>Boss: Lt. Lech Kril (Mars) - Circuit available</t>
  </si>
  <si>
    <t>Grendel Prime</t>
  </si>
  <si>
    <t>Follie</t>
  </si>
  <si>
    <t>Mission: Follie's Hunt (Venus, Vesper Relay)</t>
  </si>
  <si>
    <t>Gyre Prime</t>
  </si>
  <si>
    <t>Frost</t>
  </si>
  <si>
    <t>Boss: Cpt. Vor &amp; Lt. Lech Kril (Ceres) - Circuit available</t>
  </si>
  <si>
    <t>Harrow Prime</t>
  </si>
  <si>
    <t>Gara</t>
  </si>
  <si>
    <t>Quest: Saya's Vigil &amp; Cetus Bounties - Circuit available</t>
  </si>
  <si>
    <t>Hildryn Prime</t>
  </si>
  <si>
    <t>Garuda</t>
  </si>
  <si>
    <t>Quest: Vox Solaris &amp; Fortuna Bounties - Circuit available</t>
  </si>
  <si>
    <t>Hydroid Prime</t>
  </si>
  <si>
    <t>Gauss</t>
  </si>
  <si>
    <t>Mission: Disruption (Sedna, Kelpie)</t>
  </si>
  <si>
    <t>Inaros Prime</t>
  </si>
  <si>
    <t>Grendel</t>
  </si>
  <si>
    <t>Mission: Europa, Arbitration locators needed</t>
  </si>
  <si>
    <t>Ivara Prime</t>
  </si>
  <si>
    <t>Gyre</t>
  </si>
  <si>
    <t>Holdfast Bounties (Chrysalith)</t>
  </si>
  <si>
    <t>Khora Prime</t>
  </si>
  <si>
    <t>Harrow</t>
  </si>
  <si>
    <t>Quest: Chains of Harrow (see note) - Circuit available</t>
  </si>
  <si>
    <t>Lavos Prime</t>
  </si>
  <si>
    <t>Hildryn</t>
  </si>
  <si>
    <t>Limbo Prime</t>
  </si>
  <si>
    <t>Hydroid</t>
  </si>
  <si>
    <t>Boss: Councilor Vay Hek (Earth) - Circuit available</t>
  </si>
  <si>
    <t>Loki Prime</t>
  </si>
  <si>
    <t>Inaros</t>
  </si>
  <si>
    <t>Quest: Sands of Inaros - Circuit available</t>
  </si>
  <si>
    <t>Mag Prime</t>
  </si>
  <si>
    <t>Ivara</t>
  </si>
  <si>
    <t>Mission: Spy - Circuit available</t>
  </si>
  <si>
    <t>Mesa Prime</t>
  </si>
  <si>
    <t>Jade</t>
  </si>
  <si>
    <t>Quest: Jade Shadows &amp; Ascension (Uranus, Brutus)</t>
  </si>
  <si>
    <t>Mirage Prime</t>
  </si>
  <si>
    <t>Khora</t>
  </si>
  <si>
    <t>Mission: Sanctuary Onslaught - Circuit available</t>
  </si>
  <si>
    <t>Nekros Prime</t>
  </si>
  <si>
    <t>Koumei</t>
  </si>
  <si>
    <t>Mission: Shrine Defense</t>
  </si>
  <si>
    <t>Nezha Prime</t>
  </si>
  <si>
    <t>Kullervo</t>
  </si>
  <si>
    <t>Duviri (Anger/Sorrow/Fear): Kullervo boss</t>
  </si>
  <si>
    <t>Nidus Prime</t>
  </si>
  <si>
    <t>Lavos</t>
  </si>
  <si>
    <t>Syndicate: Entrati</t>
  </si>
  <si>
    <t>Nova Prime</t>
  </si>
  <si>
    <t>Limbo</t>
  </si>
  <si>
    <t>Quest: The Limbo Theorem - Circuit available</t>
  </si>
  <si>
    <t>Nyx Prime</t>
  </si>
  <si>
    <t>Relics (Perma-unvaulted)</t>
  </si>
  <si>
    <t>Loki</t>
  </si>
  <si>
    <t>Boss: Hyena Pack (Neptune) - Circuit available</t>
  </si>
  <si>
    <t>Oberon Prime</t>
  </si>
  <si>
    <t>Mag</t>
  </si>
  <si>
    <t>Boss: The Sergeant (Phobos) - Circuit available</t>
  </si>
  <si>
    <t>Octavia Prime</t>
  </si>
  <si>
    <t>Mesa</t>
  </si>
  <si>
    <t>Quest: Patient Zero &amp; Alad V Assa. - Circuit available</t>
  </si>
  <si>
    <t>Protea Prime</t>
  </si>
  <si>
    <t>Mirage</t>
  </si>
  <si>
    <t>Quest: Hidden Messages - Circuit available</t>
  </si>
  <si>
    <t>Revenant Prime</t>
  </si>
  <si>
    <t>Nekros</t>
  </si>
  <si>
    <t>Boss: Lephantis (Deimos) - Circuit available</t>
  </si>
  <si>
    <t>Rhino Prime</t>
  </si>
  <si>
    <t>Nezha</t>
  </si>
  <si>
    <t>Clan: Tenno Lab</t>
  </si>
  <si>
    <t>Saryn Prime</t>
  </si>
  <si>
    <t>Nidus</t>
  </si>
  <si>
    <t>Quest: The Glast Gambit &amp; Infested Salvage - Circuit available</t>
  </si>
  <si>
    <t>Sevagoth Prime</t>
  </si>
  <si>
    <t>Nokko</t>
  </si>
  <si>
    <t>Deepmines Bounties</t>
  </si>
  <si>
    <t>Titania Prime</t>
  </si>
  <si>
    <t>Nova</t>
  </si>
  <si>
    <t>Boss: Raptors (Europa) - Circuit available</t>
  </si>
  <si>
    <t>Trinity Prime</t>
  </si>
  <si>
    <t>Nyx</t>
  </si>
  <si>
    <t>Boss: Phorid (Invasion) - Circuit available</t>
  </si>
  <si>
    <t>Valkyr Prime</t>
  </si>
  <si>
    <t>Oberon</t>
  </si>
  <si>
    <t>Railjack: Grineer POIs - Circuit available</t>
  </si>
  <si>
    <t>Vauban Prime</t>
  </si>
  <si>
    <t>Octavia</t>
  </si>
  <si>
    <t>Quest: Octavia's Anthem (see note) - Circuit available</t>
  </si>
  <si>
    <t>Volt Prime</t>
  </si>
  <si>
    <t>Relics (Baro Ki'Teer)</t>
  </si>
  <si>
    <t>Oraxia</t>
  </si>
  <si>
    <t>Duviri (Isleweaver)</t>
  </si>
  <si>
    <t>Voruna Prime</t>
  </si>
  <si>
    <t>Protea</t>
  </si>
  <si>
    <t>Quest: The Deadlock Protocol &amp; Granuum Void</t>
  </si>
  <si>
    <t>Wisp Prime</t>
  </si>
  <si>
    <t>Qorvex</t>
  </si>
  <si>
    <t>Quest: Whispers in the wall &amp; Sanctum An. Bounties</t>
  </si>
  <si>
    <t>Wukong Prime</t>
  </si>
  <si>
    <t>Revenant</t>
  </si>
  <si>
    <t>Quest: Nakak's &amp; Cetus Bounties - Circuit available</t>
  </si>
  <si>
    <t>Xaku Prime</t>
  </si>
  <si>
    <t>Rhino</t>
  </si>
  <si>
    <t>Boss: The Jackal (Venus) - Circuit available</t>
  </si>
  <si>
    <t>Yaveli Prime</t>
  </si>
  <si>
    <t>Saryn</t>
  </si>
  <si>
    <t>Boss: Kela De Thaym (Sedna) - Circuit available</t>
  </si>
  <si>
    <t>Zephyr Prime</t>
  </si>
  <si>
    <t>Sevagoth</t>
  </si>
  <si>
    <t>Quest: Call of the Tempestarii &amp; Void Storms</t>
  </si>
  <si>
    <t>Styanax</t>
  </si>
  <si>
    <t>Kahls Garrison: Chipper inventory</t>
  </si>
  <si>
    <t>Maxed</t>
  </si>
  <si>
    <t>Temple</t>
  </si>
  <si>
    <t>Mission: Stage Defense (Höllvania)</t>
  </si>
  <si>
    <t>Excalibur Umbra</t>
  </si>
  <si>
    <t>Quest - The Sacrifice</t>
  </si>
  <si>
    <t>Titania</t>
  </si>
  <si>
    <t>Quest: The Silver Grove - Circuit available</t>
  </si>
  <si>
    <t>Trinity</t>
  </si>
  <si>
    <t>Boss: Ambulas (Pluto) - Circuit available</t>
  </si>
  <si>
    <t>Uriel</t>
  </si>
  <si>
    <t>Quest: The Old Peace &amp; Descendia</t>
  </si>
  <si>
    <t>Valkyr</t>
  </si>
  <si>
    <t>Boss: Alad V (Jupiter) - Circuit available</t>
  </si>
  <si>
    <t>Vauban</t>
  </si>
  <si>
    <t>Nightwave Offerings - Circuit available</t>
  </si>
  <si>
    <t>Volt</t>
  </si>
  <si>
    <t>Voruna</t>
  </si>
  <si>
    <t>Mission: Conjunction Survival (Lua)</t>
  </si>
  <si>
    <t>Wisp</t>
  </si>
  <si>
    <t>Boss: Ropalolyst (Jupiter)</t>
  </si>
  <si>
    <t>Wukong</t>
  </si>
  <si>
    <t>Xaku</t>
  </si>
  <si>
    <t>Quest: Heart of Deimos &amp; Bounties (Necralisk)</t>
  </si>
  <si>
    <t>Yareli</t>
  </si>
  <si>
    <t>Quest: The Waverider &amp; Dojo (Ventkids)</t>
  </si>
  <si>
    <t>Zephyr</t>
  </si>
  <si>
    <t>Rifles</t>
  </si>
  <si>
    <t>Shotguns</t>
  </si>
  <si>
    <t>Launchers</t>
  </si>
  <si>
    <t>Acceltra</t>
  </si>
  <si>
    <t>Drop: Demolisher in Disruption (Uranus, Ur)</t>
  </si>
  <si>
    <t>Arca Plasmor</t>
  </si>
  <si>
    <t>Clan - Energy Lab</t>
  </si>
  <si>
    <t>Carmine Penta</t>
  </si>
  <si>
    <t>Mission - Pluto/Veil Proxima Derelicts</t>
  </si>
  <si>
    <t>Aeolak</t>
  </si>
  <si>
    <t>Chrysalith Bounties &amp; Zariman Missions</t>
  </si>
  <si>
    <t>Astilla</t>
  </si>
  <si>
    <t>Market</t>
  </si>
  <si>
    <t>Miter</t>
  </si>
  <si>
    <t>Boss: Cpt. Vor &amp; Lt. Lech Kril (Ceres) - Component for Panthera</t>
  </si>
  <si>
    <t>Alternox</t>
  </si>
  <si>
    <t>Chrysalith Bounties</t>
  </si>
  <si>
    <t>Boar</t>
  </si>
  <si>
    <t>Drop - Drekar Trooper</t>
  </si>
  <si>
    <t>Ogris</t>
  </si>
  <si>
    <t>Clan - Chem Lab</t>
  </si>
  <si>
    <t>Snipers</t>
  </si>
  <si>
    <t>Ambassador</t>
  </si>
  <si>
    <t>Empyrean Survival &amp; Raknoid drops</t>
  </si>
  <si>
    <t>Cedo</t>
  </si>
  <si>
    <t>Syndicate - Entrati</t>
  </si>
  <si>
    <t>Panthera</t>
  </si>
  <si>
    <t>Market - Uses Miter &amp; Hikou to craft</t>
  </si>
  <si>
    <t>Bows</t>
  </si>
  <si>
    <t>Amprex</t>
  </si>
  <si>
    <t>Convectrix</t>
  </si>
  <si>
    <t>Penta</t>
  </si>
  <si>
    <t>Spearguns</t>
  </si>
  <si>
    <t>Argonak</t>
  </si>
  <si>
    <t>Corinth</t>
  </si>
  <si>
    <t>Secura Penta</t>
  </si>
  <si>
    <t>Syndicate - Perrin Sequence</t>
  </si>
  <si>
    <t>AX-52</t>
  </si>
  <si>
    <t>Syndicate - The Hex</t>
  </si>
  <si>
    <t>Drakgoon</t>
  </si>
  <si>
    <t>Market - Component for Zarr</t>
  </si>
  <si>
    <t>Simulor</t>
  </si>
  <si>
    <t>Syndicate - Cephalon Simaris</t>
  </si>
  <si>
    <t>Bayonet</t>
  </si>
  <si>
    <t>Basmu</t>
  </si>
  <si>
    <t>Nights of Naberus - Daughter shop</t>
  </si>
  <si>
    <t>Exergis</t>
  </si>
  <si>
    <t>Synoid Simulor</t>
  </si>
  <si>
    <t>Syndicate - Cephalon Suda</t>
  </si>
  <si>
    <t>Battacor</t>
  </si>
  <si>
    <t>Felarx</t>
  </si>
  <si>
    <t>Syndicate- The Holdfasts</t>
  </si>
  <si>
    <t>Tonkor</t>
  </si>
  <si>
    <t>MK1</t>
  </si>
  <si>
    <t>Baza</t>
  </si>
  <si>
    <t>Clan - Tenno Lab</t>
  </si>
  <si>
    <t>Hek</t>
  </si>
  <si>
    <t>Torid</t>
  </si>
  <si>
    <t>Clan - Bio Lab</t>
  </si>
  <si>
    <t>Kuva</t>
  </si>
  <si>
    <t>Boltor</t>
  </si>
  <si>
    <t>Market - Component for Boltace</t>
  </si>
  <si>
    <t>Kohm</t>
  </si>
  <si>
    <t>Zarr</t>
  </si>
  <si>
    <t>Market - Uses Drakgoon to craft</t>
  </si>
  <si>
    <t>Tenet</t>
  </si>
  <si>
    <t>Braton</t>
  </si>
  <si>
    <t>Phage</t>
  </si>
  <si>
    <t>Coda</t>
  </si>
  <si>
    <t>Braton Vandal</t>
  </si>
  <si>
    <t>Mission - Elite Sanctuary Onslaught</t>
  </si>
  <si>
    <t>Phantasma</t>
  </si>
  <si>
    <t>Bubonico</t>
  </si>
  <si>
    <t>Rauta</t>
  </si>
  <si>
    <t>Acrithis/Duviri</t>
  </si>
  <si>
    <t>Acceltra Prime</t>
  </si>
  <si>
    <t>Total Primaries</t>
  </si>
  <si>
    <t>Burston</t>
  </si>
  <si>
    <t>Sancti Tigris</t>
  </si>
  <si>
    <t>Syndicate - New Loka</t>
  </si>
  <si>
    <t>Alternox Prime</t>
  </si>
  <si>
    <t>Lvl 40 Primaries</t>
  </si>
  <si>
    <t>Buzlok</t>
  </si>
  <si>
    <t>Sobek</t>
  </si>
  <si>
    <t>Astilla Prime</t>
  </si>
  <si>
    <t>Pot Lvl 40 Primaries</t>
  </si>
  <si>
    <t>Dera</t>
  </si>
  <si>
    <t>Steflos</t>
  </si>
  <si>
    <t>Mission - Mirror Defense Tyana Pass</t>
  </si>
  <si>
    <t>Baza Prime</t>
  </si>
  <si>
    <t>Dera Vandal</t>
  </si>
  <si>
    <t>Mission - Invasions</t>
  </si>
  <si>
    <t>Strun</t>
  </si>
  <si>
    <t>Boar Prime</t>
  </si>
  <si>
    <t>Dex Sybaris</t>
  </si>
  <si>
    <t>Mission - Anniversary Alert</t>
  </si>
  <si>
    <t>Strun Wraith</t>
  </si>
  <si>
    <t>Boltor Prime</t>
  </si>
  <si>
    <t>EFV-5 Jupiter</t>
  </si>
  <si>
    <t>Tigris</t>
  </si>
  <si>
    <t>Braton Prime</t>
  </si>
  <si>
    <t>Enkaus</t>
  </si>
  <si>
    <t>Vaykor Hek</t>
  </si>
  <si>
    <t>Syndicate - Steel Meridian</t>
  </si>
  <si>
    <t>Burston Prime</t>
  </si>
  <si>
    <t>Flux Rifle</t>
  </si>
  <si>
    <t>Cernos Prime</t>
  </si>
  <si>
    <t>Fulmin</t>
  </si>
  <si>
    <t>Cedo Prime</t>
  </si>
  <si>
    <t>Glaxion</t>
  </si>
  <si>
    <t>Komorex</t>
  </si>
  <si>
    <t>Corinth Prime</t>
  </si>
  <si>
    <t>Glaxion Vandal</t>
  </si>
  <si>
    <t>Baro Ki'Teer</t>
  </si>
  <si>
    <t>Lanka</t>
  </si>
  <si>
    <t>Daikyu Prime</t>
  </si>
  <si>
    <t>Gorgon</t>
  </si>
  <si>
    <t>Drop - Heavy Gunner/Grineer Warden</t>
  </si>
  <si>
    <t>Perigale</t>
  </si>
  <si>
    <t>Mission Conjunction Survival</t>
  </si>
  <si>
    <t>Fulmin Prime</t>
  </si>
  <si>
    <t>Gorgon Wraith</t>
  </si>
  <si>
    <t>Mission - Razorback Invasion</t>
  </si>
  <si>
    <t>Rubico</t>
  </si>
  <si>
    <t>Gotva Prime</t>
  </si>
  <si>
    <t>Grakata</t>
  </si>
  <si>
    <t>Market - Component for Twin Gratakas</t>
  </si>
  <si>
    <t>Snipetron</t>
  </si>
  <si>
    <t>Mission - ??? (Events)</t>
  </si>
  <si>
    <t>Latron Prime</t>
  </si>
  <si>
    <t>Grinlok</t>
  </si>
  <si>
    <t>Snipetron Vandal</t>
  </si>
  <si>
    <t>Mission - Invasion</t>
  </si>
  <si>
    <t>Nagantaka Prime</t>
  </si>
  <si>
    <t>Harpak</t>
  </si>
  <si>
    <t>Sporothrix</t>
  </si>
  <si>
    <t>Mission - Deimos Bounties</t>
  </si>
  <si>
    <t>Panthera Prime</t>
  </si>
  <si>
    <t>Hema</t>
  </si>
  <si>
    <t>Vectis</t>
  </si>
  <si>
    <t>Paris Prime</t>
  </si>
  <si>
    <t>Higasa</t>
  </si>
  <si>
    <t>Mission - Shrine Defense</t>
  </si>
  <si>
    <t>Vulkar</t>
  </si>
  <si>
    <t>Perigale Prime</t>
  </si>
  <si>
    <t>Hind</t>
  </si>
  <si>
    <t>Vulkar Wraith</t>
  </si>
  <si>
    <t>Phantasma Prime</t>
  </si>
  <si>
    <t>Ignis</t>
  </si>
  <si>
    <t>Rubico Prime</t>
  </si>
  <si>
    <t>Ignis Wraith</t>
  </si>
  <si>
    <t>Scourge Prime</t>
  </si>
  <si>
    <t>Karak</t>
  </si>
  <si>
    <t>Attica</t>
  </si>
  <si>
    <t>Soma Prime</t>
  </si>
  <si>
    <t>Karak Wraith</t>
  </si>
  <si>
    <t>Cernos</t>
  </si>
  <si>
    <t>Market - Component for Mutalist Cernos</t>
  </si>
  <si>
    <t>Stradavar Prime</t>
  </si>
  <si>
    <t>Latron</t>
  </si>
  <si>
    <t>Market - Component for Tiberon</t>
  </si>
  <si>
    <t>Cinta</t>
  </si>
  <si>
    <t>Enigma Puzzles in Duviri Experience</t>
  </si>
  <si>
    <t>Strun Prime</t>
  </si>
  <si>
    <t>Latron Wraith</t>
  </si>
  <si>
    <t>Daikyu</t>
  </si>
  <si>
    <t>Sybaris Prime</t>
  </si>
  <si>
    <t>Mutalist Quanta</t>
  </si>
  <si>
    <t>Dread</t>
  </si>
  <si>
    <t>Drop - Stalker</t>
  </si>
  <si>
    <t>Tenora Prime</t>
  </si>
  <si>
    <t>Opticor</t>
  </si>
  <si>
    <t>Evensong</t>
  </si>
  <si>
    <t>Mission - Ascension</t>
  </si>
  <si>
    <t>Tiberon Prime</t>
  </si>
  <si>
    <t>Opticor Vandal</t>
  </si>
  <si>
    <t>Mission - Thermia Fractures Event</t>
  </si>
  <si>
    <t>Lenz</t>
  </si>
  <si>
    <t>Tigris Prime</t>
  </si>
  <si>
    <t>Paracyst</t>
  </si>
  <si>
    <t>Mutalist Cernos</t>
  </si>
  <si>
    <t>Market - Component for Proboscis Cernos - Uses Cernos to craft</t>
  </si>
  <si>
    <t>Trumna Prime</t>
  </si>
  <si>
    <t>Phenmore</t>
  </si>
  <si>
    <t>Nagantaka</t>
  </si>
  <si>
    <t>Vadarya Prime</t>
  </si>
  <si>
    <t>Prisma Gorgon</t>
  </si>
  <si>
    <t>Nataruk</t>
  </si>
  <si>
    <t>Quest- The new war</t>
  </si>
  <si>
    <t>Vectis Prime</t>
  </si>
  <si>
    <t>Prisma Grakata</t>
  </si>
  <si>
    <t>Paris</t>
  </si>
  <si>
    <t>Zhuge Prime</t>
  </si>
  <si>
    <t>Prisma Grinlok</t>
  </si>
  <si>
    <t>Prisma Lenz</t>
  </si>
  <si>
    <t>Prisma Tetra</t>
  </si>
  <si>
    <t>Proboscis Cernos</t>
  </si>
  <si>
    <t>Market - Uses Mutalist Cernos to craft</t>
  </si>
  <si>
    <t>Purgator 1</t>
  </si>
  <si>
    <t>Rakta Cernos</t>
  </si>
  <si>
    <t>Syndicate - Red Veil</t>
  </si>
  <si>
    <t>MK1-Braton</t>
  </si>
  <si>
    <t>Quanta</t>
  </si>
  <si>
    <t>Zhuge</t>
  </si>
  <si>
    <t>MK1-Paris</t>
  </si>
  <si>
    <t>Quanta Vandal</t>
  </si>
  <si>
    <t>MK1-Strun</t>
  </si>
  <si>
    <t>Quartakk</t>
  </si>
  <si>
    <t>Mission - Ghoul Purge Event</t>
  </si>
  <si>
    <t>Quellor</t>
  </si>
  <si>
    <t>Drop - Grineer Railjack Captain/Commanders</t>
  </si>
  <si>
    <t>Reconifex</t>
  </si>
  <si>
    <t>Afentis</t>
  </si>
  <si>
    <t>Syndicate - Kahls Garrison</t>
  </si>
  <si>
    <t>Shedu</t>
  </si>
  <si>
    <t>Quest - Erra</t>
  </si>
  <si>
    <t>Ferrox</t>
  </si>
  <si>
    <t>Kuva Bramma</t>
  </si>
  <si>
    <t>Kuva lich</t>
  </si>
  <si>
    <t>Soma</t>
  </si>
  <si>
    <t>Javlok</t>
  </si>
  <si>
    <t>Clan - Chemical Lab</t>
  </si>
  <si>
    <t xml:space="preserve"> - Ranks 30 - 40</t>
  </si>
  <si>
    <t>Stahlta</t>
  </si>
  <si>
    <t>Drop - Jackal (Venus)</t>
  </si>
  <si>
    <t>Scourge</t>
  </si>
  <si>
    <t>Kuva Chakkhur</t>
  </si>
  <si>
    <t>Stradavar</t>
  </si>
  <si>
    <t>Supra</t>
  </si>
  <si>
    <t>Bayonets</t>
  </si>
  <si>
    <t>Kuva Drakgoon</t>
  </si>
  <si>
    <t>Supra Vandal</t>
  </si>
  <si>
    <t>Vinquibus</t>
  </si>
  <si>
    <t>Mission: The Descendia</t>
  </si>
  <si>
    <t>Sybaris</t>
  </si>
  <si>
    <t>Kuva Hek</t>
  </si>
  <si>
    <t>Synapse</t>
  </si>
  <si>
    <t>Telos Boltor</t>
  </si>
  <si>
    <t>Syndicate - Arbiters of Hexis</t>
  </si>
  <si>
    <t>Coda Bassocyst</t>
  </si>
  <si>
    <t>Eleanor</t>
  </si>
  <si>
    <t>Kuva Hind</t>
  </si>
  <si>
    <t>Tenora</t>
  </si>
  <si>
    <t>Tetra</t>
  </si>
  <si>
    <t>Coda Bubonico</t>
  </si>
  <si>
    <t>Kuva Karak</t>
  </si>
  <si>
    <t>Thornbak</t>
  </si>
  <si>
    <t>Quest - The Teacher</t>
  </si>
  <si>
    <t>Tiberon</t>
  </si>
  <si>
    <t>Market - Uses Latron to Craft</t>
  </si>
  <si>
    <t>Coda Hema</t>
  </si>
  <si>
    <t>Kuva Kohm</t>
  </si>
  <si>
    <t>Trumna</t>
  </si>
  <si>
    <t>Veldt</t>
  </si>
  <si>
    <t>Clan - Tenno lab</t>
  </si>
  <si>
    <t>Coda Sporothrix</t>
  </si>
  <si>
    <t>Kuva Ogris</t>
  </si>
  <si>
    <t>Zenith</t>
  </si>
  <si>
    <t>Login Reward - 100/300/500/700</t>
  </si>
  <si>
    <t>Coda Synapse</t>
  </si>
  <si>
    <t>Kuva Quartakk</t>
  </si>
  <si>
    <t>Kuva Sobek</t>
  </si>
  <si>
    <t>Kuva Tonkor</t>
  </si>
  <si>
    <t>Kuva Zarr</t>
  </si>
  <si>
    <t>Tenet Arca Plasmor</t>
  </si>
  <si>
    <t>Sister</t>
  </si>
  <si>
    <t>Tenet Envoy</t>
  </si>
  <si>
    <t>Tenet Ferrox</t>
  </si>
  <si>
    <t>Tenet Flux Rifle</t>
  </si>
  <si>
    <t>Tenet Glaxion</t>
  </si>
  <si>
    <t>Tenet Quanta</t>
  </si>
  <si>
    <t>Tenet Tetra</t>
  </si>
  <si>
    <t>Single</t>
  </si>
  <si>
    <t>Dual</t>
  </si>
  <si>
    <t>Prime</t>
  </si>
  <si>
    <t>Acrid</t>
  </si>
  <si>
    <t>Afuris</t>
  </si>
  <si>
    <t>Market - Uses 2 Furis to craft</t>
  </si>
  <si>
    <t>Afuris Prime</t>
  </si>
  <si>
    <t>Angstrum</t>
  </si>
  <si>
    <t>Akarius</t>
  </si>
  <si>
    <t>Drop - Demolisher Infested</t>
  </si>
  <si>
    <t>Akarius Prime</t>
  </si>
  <si>
    <t>Arca Scisco</t>
  </si>
  <si>
    <t>Akbolto</t>
  </si>
  <si>
    <t>Market - Component for Akjagara - Uses 2 Bolto to craft</t>
  </si>
  <si>
    <t>Akbolto Prime</t>
  </si>
  <si>
    <t>Thrown</t>
  </si>
  <si>
    <t>Athodai</t>
  </si>
  <si>
    <t>Mission - Venus Proxima Derelicts</t>
  </si>
  <si>
    <t>Akbronco</t>
  </si>
  <si>
    <t>Market - Uses 2 Bronco to craft</t>
  </si>
  <si>
    <t>Akbronco Prime</t>
  </si>
  <si>
    <t>Relics - Uses 2 Bronco Prime to craft</t>
  </si>
  <si>
    <t>Atomos</t>
  </si>
  <si>
    <t>Market - Component for Twin Basolk</t>
  </si>
  <si>
    <t>Akjagara</t>
  </si>
  <si>
    <t>Market - Uses Akbolto &amp; Dual Skana as components</t>
  </si>
  <si>
    <t>Akjagara Prime</t>
  </si>
  <si>
    <t>Azima</t>
  </si>
  <si>
    <t>Aklato</t>
  </si>
  <si>
    <t>Aklex Prime</t>
  </si>
  <si>
    <t>Relics (Baro Ki'Teer) - Uses 2 Lex Prime to craft</t>
  </si>
  <si>
    <t>Kitgun</t>
  </si>
  <si>
    <t>Ballistica</t>
  </si>
  <si>
    <t>Aklex</t>
  </si>
  <si>
    <t>Market - Uses 2 Lex to craft</t>
  </si>
  <si>
    <t>Akmagnus Prime</t>
  </si>
  <si>
    <t>Relics (Baro Ki'Teer) - Uses 2 Magnus Prime to craft</t>
  </si>
  <si>
    <t>Bolto</t>
  </si>
  <si>
    <t>Market - Component for Akbolto &amp; Hystrix - Use Lato to craft</t>
  </si>
  <si>
    <t>Akmagnus</t>
  </si>
  <si>
    <t>Market - Uses 2 Magnus to craft</t>
  </si>
  <si>
    <t>Aksomati Prime</t>
  </si>
  <si>
    <t>Brakk</t>
  </si>
  <si>
    <t>Drop - The Grustrag Three</t>
  </si>
  <si>
    <t>Aksomati</t>
  </si>
  <si>
    <t>Market - Uses Akstiletto to craft</t>
  </si>
  <si>
    <t>Akstilletto Prime</t>
  </si>
  <si>
    <t>Bronco</t>
  </si>
  <si>
    <t>Market - Component for Akbronco</t>
  </si>
  <si>
    <t>Akstiletto</t>
  </si>
  <si>
    <t>Clan: Tenno Lab - Component for Aksomati &amp; Sarpa</t>
  </si>
  <si>
    <t>Akvasto Prime</t>
  </si>
  <si>
    <t>Relics (Baro Ki'Teer) - Uses 2 Vasto Prime to craft</t>
  </si>
  <si>
    <t>Catabolyst</t>
  </si>
  <si>
    <t>Akvasto</t>
  </si>
  <si>
    <t>Market - Uses 2 Vasto to craft</t>
  </si>
  <si>
    <t>Ballistica Prime</t>
  </si>
  <si>
    <t>Total Secondaries</t>
  </si>
  <si>
    <t>Cestra</t>
  </si>
  <si>
    <t>Market - Component for Dual Cestra</t>
  </si>
  <si>
    <t>Akzani</t>
  </si>
  <si>
    <t>Bronco Prime</t>
  </si>
  <si>
    <t>Relics - Component for Akbronco Prime</t>
  </si>
  <si>
    <t>Lvl 40 Secondaries</t>
  </si>
  <si>
    <t>Cyanex</t>
  </si>
  <si>
    <t>Dex Furis</t>
  </si>
  <si>
    <t>Epitaph Prime</t>
  </si>
  <si>
    <t>Pot Lvl 40 Secondaries</t>
  </si>
  <si>
    <t>Cycron</t>
  </si>
  <si>
    <t>Dual Cestra</t>
  </si>
  <si>
    <t>Clan: Energy Lab - Uses 2 Cestra to craft</t>
  </si>
  <si>
    <t>Euphona Prime</t>
  </si>
  <si>
    <t>Detron</t>
  </si>
  <si>
    <t>Drop - Zanuka Hunter</t>
  </si>
  <si>
    <t>Dual Toxocyst</t>
  </si>
  <si>
    <t>Hikou Prime</t>
  </si>
  <si>
    <t>EFV-8 Mars</t>
  </si>
  <si>
    <t>Prisma Twin Gremlins</t>
  </si>
  <si>
    <t>Hystrix Prime</t>
  </si>
  <si>
    <t>Embolist</t>
  </si>
  <si>
    <t>Secura Dual Cestra</t>
  </si>
  <si>
    <t>Kompressa Prime</t>
  </si>
  <si>
    <t>Epitaph</t>
  </si>
  <si>
    <t>Mission - Void Storm</t>
  </si>
  <si>
    <t>Staticor</t>
  </si>
  <si>
    <t>Knell Prime</t>
  </si>
  <si>
    <t>Furis</t>
  </si>
  <si>
    <t>Market - Component for Akfuris</t>
  </si>
  <si>
    <t>Telos Akbolto</t>
  </si>
  <si>
    <t>Lex Prime</t>
  </si>
  <si>
    <t>Relics (Perma-unvaulted &amp; Baro Ki'Teer) - Component for Aklex Prime</t>
  </si>
  <si>
    <t>Gammacor</t>
  </si>
  <si>
    <t>Market - Component for Heliocor</t>
  </si>
  <si>
    <t>Twin Grakatas</t>
  </si>
  <si>
    <t>Market - Uses 2 Grataka to craft</t>
  </si>
  <si>
    <t>Magnus Prime</t>
  </si>
  <si>
    <t>Relics (Baro Ki'Teer) - Component for Akmagnus Prime</t>
  </si>
  <si>
    <t>Grimoire</t>
  </si>
  <si>
    <t>Quest- Whispers in The Walls</t>
  </si>
  <si>
    <t>Twin Gremlins</t>
  </si>
  <si>
    <t>Boss: Cpt. Vor &amp; Lt. Lech Kril (Ceres)</t>
  </si>
  <si>
    <t>Pandero Prime</t>
  </si>
  <si>
    <t>Hystrix</t>
  </si>
  <si>
    <t>Market - Uses Bolto &amp; Viper to craft</t>
  </si>
  <si>
    <t>Twin Kohmak</t>
  </si>
  <si>
    <t>Boss: Kela de Thaym (Sedna) - Uses 2 Kohmak to craft</t>
  </si>
  <si>
    <t>Pyrana Prime</t>
  </si>
  <si>
    <t>Knell</t>
  </si>
  <si>
    <t>Twin Rogga</t>
  </si>
  <si>
    <t>Sagek Prime</t>
  </si>
  <si>
    <t>Mission - The Perita Rebellion</t>
  </si>
  <si>
    <t>Kohmak</t>
  </si>
  <si>
    <t>Clan: Chem Lab - Component for Twin Kohmak</t>
  </si>
  <si>
    <t>Twin Vipers</t>
  </si>
  <si>
    <t>Market - Uses 2 Viper to craft</t>
  </si>
  <si>
    <t>Sicarus Prime</t>
  </si>
  <si>
    <t>Kompressa</t>
  </si>
  <si>
    <t>Syndicate - Vent Kids</t>
  </si>
  <si>
    <t>Twin Vipers Wraith</t>
  </si>
  <si>
    <t>Spira Prime</t>
  </si>
  <si>
    <t>Kraken</t>
  </si>
  <si>
    <t>Market - Component for Kulstar</t>
  </si>
  <si>
    <t>Vasto Prime</t>
  </si>
  <si>
    <t>Relics (Baro Ki'Teer) - Component for Akvasto Prime</t>
  </si>
  <si>
    <t>Kulstar</t>
  </si>
  <si>
    <t>Market - Uses Kraken to craft</t>
  </si>
  <si>
    <t>Velox Prime</t>
  </si>
  <si>
    <t>Laetum</t>
  </si>
  <si>
    <t>Syndicate - The Holdfasts</t>
  </si>
  <si>
    <t>Aegrit</t>
  </si>
  <si>
    <t>Zakti Prime</t>
  </si>
  <si>
    <t>Lato</t>
  </si>
  <si>
    <t>Market - Component for Bolto</t>
  </si>
  <si>
    <t>Cantare</t>
  </si>
  <si>
    <t>Zylok Prime</t>
  </si>
  <si>
    <t>Lato Vandal</t>
  </si>
  <si>
    <t>Castanas</t>
  </si>
  <si>
    <t>Lex</t>
  </si>
  <si>
    <t>Market - Component for Aklex</t>
  </si>
  <si>
    <t>Despair</t>
  </si>
  <si>
    <t>Magnus</t>
  </si>
  <si>
    <t>Market - Component for Akmagnus</t>
  </si>
  <si>
    <t>Fusilai</t>
  </si>
  <si>
    <t>MK1-Furis</t>
  </si>
  <si>
    <t>Mara Detron</t>
  </si>
  <si>
    <t>Hikou</t>
  </si>
  <si>
    <t>Market - Component for the Panthera</t>
  </si>
  <si>
    <t>MK1-Kunai</t>
  </si>
  <si>
    <t>Marelok</t>
  </si>
  <si>
    <t>Kunai</t>
  </si>
  <si>
    <t>Market - Component for the Tipedo</t>
  </si>
  <si>
    <t>Nukor</t>
  </si>
  <si>
    <t>Pox</t>
  </si>
  <si>
    <t>Ocucor</t>
  </si>
  <si>
    <t>Sancti Castanas</t>
  </si>
  <si>
    <t>Catchmoon</t>
  </si>
  <si>
    <t>Syndicate - Solaris United</t>
  </si>
  <si>
    <t>Onos</t>
  </si>
  <si>
    <t>Mission - Disruption Armatus</t>
  </si>
  <si>
    <t>Scyotid</t>
  </si>
  <si>
    <t>Mission - Isleweaver</t>
  </si>
  <si>
    <t>Gaze</t>
  </si>
  <si>
    <t>Pandero</t>
  </si>
  <si>
    <t>Spira</t>
  </si>
  <si>
    <t>Rattleguts</t>
  </si>
  <si>
    <t>Plinx</t>
  </si>
  <si>
    <t>Talons</t>
  </si>
  <si>
    <t>Sporelacer</t>
  </si>
  <si>
    <t>Prisma Angstrum</t>
  </si>
  <si>
    <t>Tombfinger</t>
  </si>
  <si>
    <t>Pyrana</t>
  </si>
  <si>
    <t>Vermisplicer</t>
  </si>
  <si>
    <t>Quatz</t>
  </si>
  <si>
    <t>Coda Catabolyst</t>
  </si>
  <si>
    <t>Rakta Ballistica</t>
  </si>
  <si>
    <t>Riot-848</t>
  </si>
  <si>
    <t>Dual Coda Torxica</t>
  </si>
  <si>
    <t>Kuva Brakk</t>
  </si>
  <si>
    <t>Seer</t>
  </si>
  <si>
    <t>Drop - Captain Vor (Mercury)</t>
  </si>
  <si>
    <t>Sepulcrum</t>
  </si>
  <si>
    <t>Coda Pox</t>
  </si>
  <si>
    <t>Kuva Kraken</t>
  </si>
  <si>
    <t>Sicarus</t>
  </si>
  <si>
    <t>Sonicor</t>
  </si>
  <si>
    <t>Coda Tysis</t>
  </si>
  <si>
    <t>Kuva Nukor</t>
  </si>
  <si>
    <t>Spectra</t>
  </si>
  <si>
    <t>Spectra Vandal</t>
  </si>
  <si>
    <t>Mission - Veil Proxima Derelicts</t>
  </si>
  <si>
    <t>Kuva Seer</t>
  </si>
  <si>
    <t>Stubba</t>
  </si>
  <si>
    <t>Stug</t>
  </si>
  <si>
    <t>Kuva Twin Stubbas</t>
  </si>
  <si>
    <t>Synoid Gammacor</t>
  </si>
  <si>
    <t>Tysis</t>
  </si>
  <si>
    <t>Vasto</t>
  </si>
  <si>
    <t>Market - Component for Akvasto &amp; Redeemer</t>
  </si>
  <si>
    <t>Vaykor Marelok</t>
  </si>
  <si>
    <t>Velox</t>
  </si>
  <si>
    <t>Tenet Cycron</t>
  </si>
  <si>
    <t>Vesper 77</t>
  </si>
  <si>
    <t>Viper</t>
  </si>
  <si>
    <t>Market - Component for Twin Vipers &amp; Hystrix</t>
  </si>
  <si>
    <t>Tenet Detron</t>
  </si>
  <si>
    <t>Viper Wraith</t>
  </si>
  <si>
    <t>Zakti</t>
  </si>
  <si>
    <t>Tenet Diplos</t>
  </si>
  <si>
    <t>Zylok</t>
  </si>
  <si>
    <t>Zymos</t>
  </si>
  <si>
    <t>Tenet Plinx</t>
  </si>
  <si>
    <t>Tenet Spirex</t>
  </si>
  <si>
    <t>Swords/Nikanas</t>
  </si>
  <si>
    <t>Daggers</t>
  </si>
  <si>
    <t>Polearm/Staff</t>
  </si>
  <si>
    <t>Scythe</t>
  </si>
  <si>
    <t>Azothane</t>
  </si>
  <si>
    <t>Syndicate - Teshins Cave</t>
  </si>
  <si>
    <t>Ceramic Dagger</t>
  </si>
  <si>
    <t>Nightwave Cred Offerings</t>
  </si>
  <si>
    <t>Amanata</t>
  </si>
  <si>
    <t>Anku</t>
  </si>
  <si>
    <t>Broken War</t>
  </si>
  <si>
    <t>Quest: The Second Dream - Component for War</t>
  </si>
  <si>
    <t>Dark Dagger</t>
  </si>
  <si>
    <t>Amphis</t>
  </si>
  <si>
    <t>Market - Component for Sydon</t>
  </si>
  <si>
    <t>Caustacyst</t>
  </si>
  <si>
    <t>Cronus</t>
  </si>
  <si>
    <t>Heat Dagger</t>
  </si>
  <si>
    <t>Bo</t>
  </si>
  <si>
    <t>Market - Component for Cadus &amp; Tipedo</t>
  </si>
  <si>
    <t>Ether Reaper</t>
  </si>
  <si>
    <t>Dark Sword</t>
  </si>
  <si>
    <t>Innodem</t>
  </si>
  <si>
    <t>Broken Scepter</t>
  </si>
  <si>
    <t>Quest - The War Within</t>
  </si>
  <si>
    <t>Harmony</t>
  </si>
  <si>
    <t>Dex Nikana</t>
  </si>
  <si>
    <t>Karyst</t>
  </si>
  <si>
    <t>Cadus</t>
  </si>
  <si>
    <t>Market - Uses Bo to craft</t>
  </si>
  <si>
    <t>Hate</t>
  </si>
  <si>
    <t>Dragon Nikana</t>
  </si>
  <si>
    <t>Market - Uses Nikana to craft</t>
  </si>
  <si>
    <t>Rakta Dark Dagger</t>
  </si>
  <si>
    <t>Cassowar</t>
  </si>
  <si>
    <t>Venato</t>
  </si>
  <si>
    <t>Ether Sword</t>
  </si>
  <si>
    <t>Rumblejack</t>
  </si>
  <si>
    <t>Edun</t>
  </si>
  <si>
    <t>Heat Sword</t>
  </si>
  <si>
    <t>Sheev</t>
  </si>
  <si>
    <t>Guandao</t>
  </si>
  <si>
    <t>Hammer</t>
  </si>
  <si>
    <t>Jaw Sword</t>
  </si>
  <si>
    <t>Kesheg</t>
  </si>
  <si>
    <t>Arca Titron</t>
  </si>
  <si>
    <t>Krohkur</t>
  </si>
  <si>
    <t>Market - Component for Twin Krohkur</t>
  </si>
  <si>
    <t>Dual Daggers</t>
  </si>
  <si>
    <t>Korumm</t>
  </si>
  <si>
    <t>Mission- Narmer Bounty</t>
  </si>
  <si>
    <t>Ekhein</t>
  </si>
  <si>
    <t>Syndicate - Cavia</t>
  </si>
  <si>
    <t>Mire</t>
  </si>
  <si>
    <t>Ether Daggers</t>
  </si>
  <si>
    <t>Quest - Stolen Dreams</t>
  </si>
  <si>
    <t>Lesion</t>
  </si>
  <si>
    <t>Market - Uses Tipedo to craft</t>
  </si>
  <si>
    <t>Fragor</t>
  </si>
  <si>
    <t>Nikana</t>
  </si>
  <si>
    <t>Clan: Tenno Lab - Component for Dragon Nikana</t>
  </si>
  <si>
    <t>Fang</t>
  </si>
  <si>
    <t>Orthos</t>
  </si>
  <si>
    <t>Heliocor</t>
  </si>
  <si>
    <t>Syndicate: Cephalon Simaris - Use Gammacor to craft</t>
  </si>
  <si>
    <t>Pangolin Sword</t>
  </si>
  <si>
    <t>Nepheri</t>
  </si>
  <si>
    <t>Pupacyst</t>
  </si>
  <si>
    <t>Jat Kittag</t>
  </si>
  <si>
    <t>Pennant</t>
  </si>
  <si>
    <t>Okina</t>
  </si>
  <si>
    <t>Serro</t>
  </si>
  <si>
    <t>Magistar</t>
  </si>
  <si>
    <t>Market - Component for Sibear</t>
  </si>
  <si>
    <t>Plasma Sword</t>
  </si>
  <si>
    <t>Sydon</t>
  </si>
  <si>
    <t>Clan: Chem Lab - Uses Amphis to craft</t>
  </si>
  <si>
    <t>Sampotes</t>
  </si>
  <si>
    <t>Prisma Skana</t>
  </si>
  <si>
    <t>Machetes</t>
  </si>
  <si>
    <t>Tipedo</t>
  </si>
  <si>
    <t>Market - Uses Bo &amp; Kunai to craft - Component for Lesion</t>
  </si>
  <si>
    <t>Sancti Magistar</t>
  </si>
  <si>
    <t>Skana</t>
  </si>
  <si>
    <t>Gazal Machete</t>
  </si>
  <si>
    <t>Tonbo</t>
  </si>
  <si>
    <t>Sibear</t>
  </si>
  <si>
    <t>Market - Uses Magistar to craft</t>
  </si>
  <si>
    <t>Skiajati</t>
  </si>
  <si>
    <t>Kama</t>
  </si>
  <si>
    <t>Market - Component for Dual Kamas</t>
  </si>
  <si>
    <t>Vaykor Sydon</t>
  </si>
  <si>
    <t>Synoid Heliocor</t>
  </si>
  <si>
    <t>Sun &amp; Moon</t>
  </si>
  <si>
    <t>Quest - The Duviri Paradox</t>
  </si>
  <si>
    <t>Kreska</t>
  </si>
  <si>
    <t>Volnus</t>
  </si>
  <si>
    <t>Syam</t>
  </si>
  <si>
    <t>Machete</t>
  </si>
  <si>
    <t>Login Reward (Random)</t>
  </si>
  <si>
    <t>Whip/B. Whip</t>
  </si>
  <si>
    <t>Wolf Sledge</t>
  </si>
  <si>
    <t>Drop - Wolf of Saturn Six</t>
  </si>
  <si>
    <t>Tatsu</t>
  </si>
  <si>
    <t>Machete Wraith</t>
  </si>
  <si>
    <t>Atterax</t>
  </si>
  <si>
    <t>Nami Solo</t>
  </si>
  <si>
    <t>Ceti Lacera</t>
  </si>
  <si>
    <t>Mission - Orphix?</t>
  </si>
  <si>
    <t>Rapier</t>
  </si>
  <si>
    <t>Assault Saw</t>
  </si>
  <si>
    <t>Dual Swords</t>
  </si>
  <si>
    <t>Prisma Machete</t>
  </si>
  <si>
    <t>Dorrclave</t>
  </si>
  <si>
    <t>Dagaths Hollow- Clan Dojo</t>
  </si>
  <si>
    <t>Destreza</t>
  </si>
  <si>
    <t>Dex Dakra</t>
  </si>
  <si>
    <t>Prova</t>
  </si>
  <si>
    <t>Galvacord</t>
  </si>
  <si>
    <t>Endura</t>
  </si>
  <si>
    <t>Dual Cleavers</t>
  </si>
  <si>
    <t>Market - Component for Ripkas</t>
  </si>
  <si>
    <t>Prova Vandal</t>
  </si>
  <si>
    <t>Jat Kusar</t>
  </si>
  <si>
    <t>Dual Ether</t>
  </si>
  <si>
    <t>Slaytra</t>
  </si>
  <si>
    <t>Lacera</t>
  </si>
  <si>
    <t>Claws</t>
  </si>
  <si>
    <t>Dual Heat Swords</t>
  </si>
  <si>
    <t>Lecta</t>
  </si>
  <si>
    <t>Ripkas</t>
  </si>
  <si>
    <t>Market - Uses Ankyros &amp; Dual Cleavers to craft</t>
  </si>
  <si>
    <t>Dual Ichor</t>
  </si>
  <si>
    <t>Fist/Sparring</t>
  </si>
  <si>
    <t>Mios</t>
  </si>
  <si>
    <t>Venka</t>
  </si>
  <si>
    <t>Total Melee</t>
  </si>
  <si>
    <t>Dual Kamas</t>
  </si>
  <si>
    <t>Market - Uses 2 Kama to craft - Component for Dual Raza</t>
  </si>
  <si>
    <t>Ankyros</t>
  </si>
  <si>
    <t>Market - Component for Tekko &amp; Ripkas</t>
  </si>
  <si>
    <t>Scoliac</t>
  </si>
  <si>
    <t>Keratinos</t>
  </si>
  <si>
    <t>Lvl 40 Melee</t>
  </si>
  <si>
    <t>Dual Keres</t>
  </si>
  <si>
    <t>Furax</t>
  </si>
  <si>
    <t>Market - Component for Knux</t>
  </si>
  <si>
    <t>Secura Lecta</t>
  </si>
  <si>
    <t>Pot Lvl 40 Melee</t>
  </si>
  <si>
    <t>Dual Raza</t>
  </si>
  <si>
    <t>Clan: Tenno Lab - Uses Dual Kamas to craft</t>
  </si>
  <si>
    <t>Furax Wraith</t>
  </si>
  <si>
    <t>Mission - Cetus Bounty</t>
  </si>
  <si>
    <t>Spinnerex</t>
  </si>
  <si>
    <t>Dual Skana</t>
  </si>
  <si>
    <t>Market - Component for Akjagara, Dark Split-Sword &amp; Redeemer</t>
  </si>
  <si>
    <t>Hirudo</t>
  </si>
  <si>
    <t>Market - Uses Kogake to craft</t>
  </si>
  <si>
    <t>Verdilac</t>
  </si>
  <si>
    <t>Mission - Narmer Bounties</t>
  </si>
  <si>
    <t>Ankyros Prime</t>
  </si>
  <si>
    <t>Dual Viciss</t>
  </si>
  <si>
    <t>Kogake</t>
  </si>
  <si>
    <t>Market - Component for Hirudo</t>
  </si>
  <si>
    <t>Bo Prime</t>
  </si>
  <si>
    <t>Dual Zoren</t>
  </si>
  <si>
    <t>Korrudo</t>
  </si>
  <si>
    <t>Drop - Tusk Thumpers</t>
  </si>
  <si>
    <t>Glaive</t>
  </si>
  <si>
    <t>Cobra &amp; Crane Prime</t>
  </si>
  <si>
    <t>Nami Skyla</t>
  </si>
  <si>
    <t>Obex</t>
  </si>
  <si>
    <t>Cerata</t>
  </si>
  <si>
    <t>Dakra Prime</t>
  </si>
  <si>
    <t>Prisma Dual Cleavers</t>
  </si>
  <si>
    <t>Prisma Obex</t>
  </si>
  <si>
    <t>Falcor</t>
  </si>
  <si>
    <t>Destreza Prime</t>
  </si>
  <si>
    <t>Twin Basolk</t>
  </si>
  <si>
    <t>Market - Uses Dual Zoren &amp; Atomos to craft</t>
  </si>
  <si>
    <t>Ruvox</t>
  </si>
  <si>
    <t>Mission - Disruption (Deimos, Armatus)</t>
  </si>
  <si>
    <t>Dual Kamas Prime</t>
  </si>
  <si>
    <t>Twin Krohkur</t>
  </si>
  <si>
    <t>Clan: Chem Lab - Uses 2 Krohkur to craft</t>
  </si>
  <si>
    <t>Tekko</t>
  </si>
  <si>
    <t>Market - Uses Ankyros to craft</t>
  </si>
  <si>
    <t>Halikar</t>
  </si>
  <si>
    <t>Dual Keres Prime</t>
  </si>
  <si>
    <t>Halikar Wraith</t>
  </si>
  <si>
    <t>Dual Zoren Prime</t>
  </si>
  <si>
    <t>Heavy Blades</t>
  </si>
  <si>
    <t>Sword-Shield</t>
  </si>
  <si>
    <t>Kestrel</t>
  </si>
  <si>
    <t>Fang Prime</t>
  </si>
  <si>
    <t>Dark Split-Sword</t>
  </si>
  <si>
    <t>Clan: Tenno Lab - Uses Dual Skana to craft</t>
  </si>
  <si>
    <t>Ack &amp; Brunt</t>
  </si>
  <si>
    <t>Orvius</t>
  </si>
  <si>
    <t>Fragor Prime</t>
  </si>
  <si>
    <t>Galatine</t>
  </si>
  <si>
    <t>Market - Component for Paracesis</t>
  </si>
  <si>
    <t>Argo &amp; Vel</t>
  </si>
  <si>
    <t>Pathocyst</t>
  </si>
  <si>
    <t>Drop - Zeloid Prelate (Deimos)</t>
  </si>
  <si>
    <t>Galatine Prime</t>
  </si>
  <si>
    <t>Gram</t>
  </si>
  <si>
    <t>Cobra &amp; Crane</t>
  </si>
  <si>
    <t>Xoris</t>
  </si>
  <si>
    <t>Quest - The Deadlock Protocol</t>
  </si>
  <si>
    <t>Galariak Prime</t>
  </si>
  <si>
    <t>Masseter</t>
  </si>
  <si>
    <t>Sigma &amp; Octantis</t>
  </si>
  <si>
    <t>Login Reward - 300/500/700</t>
  </si>
  <si>
    <t>Glaive Prime</t>
  </si>
  <si>
    <t>Paracesis</t>
  </si>
  <si>
    <t>Quest: Chimera Prologue - Uses Galatine to craft</t>
  </si>
  <si>
    <t>Silva &amp; Aegis</t>
  </si>
  <si>
    <t>Tonfa/Nunchaku</t>
  </si>
  <si>
    <t>Gram Prime</t>
  </si>
  <si>
    <t>Tak &amp; Lug</t>
  </si>
  <si>
    <t>Mission - Ghoul Purge Bounties in the Plains of Eidolon and Disruption Olympus on Mars.</t>
  </si>
  <si>
    <t>Boltace</t>
  </si>
  <si>
    <t>Market - Uses Kronen &amp; Boltor to craft</t>
  </si>
  <si>
    <t>Guandao Prime</t>
  </si>
  <si>
    <t>Sarofang</t>
  </si>
  <si>
    <t>Mission- Conjunction Survival</t>
  </si>
  <si>
    <t>Kronen</t>
  </si>
  <si>
    <t>Gunsen Prime</t>
  </si>
  <si>
    <t>Scindo</t>
  </si>
  <si>
    <t>Gunblade</t>
  </si>
  <si>
    <t>Ninkondi</t>
  </si>
  <si>
    <t>Market - Component for Shaku</t>
  </si>
  <si>
    <t>Karyst Prime</t>
  </si>
  <si>
    <t>Vitrica</t>
  </si>
  <si>
    <t>Drop: Nihil</t>
  </si>
  <si>
    <t>Redeemer</t>
  </si>
  <si>
    <t>Market - Uses Dual Skana &amp; Vasto to craft</t>
  </si>
  <si>
    <t>Ohma</t>
  </si>
  <si>
    <t>Kestrel Prime</t>
  </si>
  <si>
    <t>War</t>
  </si>
  <si>
    <t>Drop: Shadow Stalker - Uses Broken War to craft</t>
  </si>
  <si>
    <t>Sarpa</t>
  </si>
  <si>
    <t>Market - Uses Akstiletto to Craft</t>
  </si>
  <si>
    <t>Praedos</t>
  </si>
  <si>
    <t>Kogake Prime</t>
  </si>
  <si>
    <t>Zenistar</t>
  </si>
  <si>
    <t>Stropha</t>
  </si>
  <si>
    <t>Prisma Ohma</t>
  </si>
  <si>
    <t>Kronen Prime</t>
  </si>
  <si>
    <t>Vastilok</t>
  </si>
  <si>
    <t>Pulmonars</t>
  </si>
  <si>
    <t>Masseter Prime</t>
  </si>
  <si>
    <t>Zaw</t>
  </si>
  <si>
    <t>Shaku</t>
  </si>
  <si>
    <t>Clan: Tenno Lab - Uses Ninkondi to craft</t>
  </si>
  <si>
    <t>Nami Skyla Prime</t>
  </si>
  <si>
    <t>Balla</t>
  </si>
  <si>
    <t>Syndicate - Ostrons</t>
  </si>
  <si>
    <t>Warfans</t>
  </si>
  <si>
    <t>Tonkkatt</t>
  </si>
  <si>
    <t>Nikana Prime</t>
  </si>
  <si>
    <t>Cyath</t>
  </si>
  <si>
    <t>Arum Spinosa</t>
  </si>
  <si>
    <t>Telos Boltace</t>
  </si>
  <si>
    <t>Ninkondi Prime</t>
  </si>
  <si>
    <t>Dehtat</t>
  </si>
  <si>
    <t>Gunsen</t>
  </si>
  <si>
    <t>Okina Prime</t>
  </si>
  <si>
    <t>Dokrahm</t>
  </si>
  <si>
    <t>Quassus</t>
  </si>
  <si>
    <t>Orthos Prime</t>
  </si>
  <si>
    <t>Kronsh</t>
  </si>
  <si>
    <t>Vericres</t>
  </si>
  <si>
    <t>MK1-Bo</t>
  </si>
  <si>
    <t>Pangolin Prime</t>
  </si>
  <si>
    <t>Mewan</t>
  </si>
  <si>
    <t>MK1-Furax</t>
  </si>
  <si>
    <t>Quassus Prime</t>
  </si>
  <si>
    <t>Ooltha</t>
  </si>
  <si>
    <t>Assault Saws</t>
  </si>
  <si>
    <t>Reaper Prime</t>
  </si>
  <si>
    <t>Plague Keewar</t>
  </si>
  <si>
    <t>Mission - Plague Star Event</t>
  </si>
  <si>
    <t>Ghoulsaw</t>
  </si>
  <si>
    <t>Syndicate- Plains of Eidelon</t>
  </si>
  <si>
    <t>Redeemer Prime</t>
  </si>
  <si>
    <t>Plague Kripath</t>
  </si>
  <si>
    <t>Coda Caustacyst</t>
  </si>
  <si>
    <t>Sarofang Prime</t>
  </si>
  <si>
    <t>Rabvee</t>
  </si>
  <si>
    <t>Heavy Scythes</t>
  </si>
  <si>
    <t>Scindo Prime</t>
  </si>
  <si>
    <t>Sepfahn</t>
  </si>
  <si>
    <t>Corufell</t>
  </si>
  <si>
    <t>Mission - Mirror Defense</t>
  </si>
  <si>
    <t>Coda Hirudo</t>
  </si>
  <si>
    <t>Silva &amp; Aegis Prime</t>
  </si>
  <si>
    <t>Hespar</t>
  </si>
  <si>
    <t>Mission - Chrysalith Bounties</t>
  </si>
  <si>
    <t>Tatsu Prime</t>
  </si>
  <si>
    <t>Thalys</t>
  </si>
  <si>
    <t>Market - Isleweaver</t>
  </si>
  <si>
    <t>Coda Mire</t>
  </si>
  <si>
    <t>Tekko Prime</t>
  </si>
  <si>
    <t>Tipedo Prime</t>
  </si>
  <si>
    <t>Coda Motovore</t>
  </si>
  <si>
    <t>Venato Prime</t>
  </si>
  <si>
    <t>Venka Prime</t>
  </si>
  <si>
    <t>Coda Pathocyst</t>
  </si>
  <si>
    <t>Volnus Prime</t>
  </si>
  <si>
    <t>Kuva Ghoulsaw</t>
  </si>
  <si>
    <t>Kuva Shildeg</t>
  </si>
  <si>
    <t>Tenet Agendus</t>
  </si>
  <si>
    <t>Sister of Parvos</t>
  </si>
  <si>
    <t>Tenet Exec</t>
  </si>
  <si>
    <t>Tenet Grigori</t>
  </si>
  <si>
    <t>Tenet Livia</t>
  </si>
  <si>
    <t>rip t</t>
  </si>
  <si>
    <t>Sentinels</t>
  </si>
  <si>
    <t>Kubrows</t>
  </si>
  <si>
    <t>Carrier</t>
  </si>
  <si>
    <t>Chesa</t>
  </si>
  <si>
    <t>Egg Incubation</t>
  </si>
  <si>
    <t>Dethcube</t>
  </si>
  <si>
    <t>Huras</t>
  </si>
  <si>
    <t>Diriga</t>
  </si>
  <si>
    <t>Raksa</t>
  </si>
  <si>
    <t xml:space="preserve">Total </t>
  </si>
  <si>
    <t>Djinn</t>
  </si>
  <si>
    <t>Sahasa</t>
  </si>
  <si>
    <t>Total Sentinels</t>
  </si>
  <si>
    <t>Helios</t>
  </si>
  <si>
    <t>Sunika</t>
  </si>
  <si>
    <t>Nautilus</t>
  </si>
  <si>
    <t>Mission - Neptune Proxima</t>
  </si>
  <si>
    <t>Helminth</t>
  </si>
  <si>
    <t>Nidus' Cyst Incubation</t>
  </si>
  <si>
    <t>Oxylus</t>
  </si>
  <si>
    <t>Total Completed</t>
  </si>
  <si>
    <t>Prisma Shade</t>
  </si>
  <si>
    <t>Kavats</t>
  </si>
  <si>
    <t>Total Weapons</t>
  </si>
  <si>
    <t>Shade</t>
  </si>
  <si>
    <t>Adarza</t>
  </si>
  <si>
    <t>Kavat DNA Incubation</t>
  </si>
  <si>
    <t>Taxon</t>
  </si>
  <si>
    <t>Smeeta</t>
  </si>
  <si>
    <t>Wyrm</t>
  </si>
  <si>
    <t>Vasca</t>
  </si>
  <si>
    <t>Infect your kavat with Vasca virus</t>
  </si>
  <si>
    <t>Moas</t>
  </si>
  <si>
    <t>Venari</t>
  </si>
  <si>
    <t>Comes w/ Khora</t>
  </si>
  <si>
    <t>Predasites</t>
  </si>
  <si>
    <t>Robotic Weapons</t>
  </si>
  <si>
    <t>Venari Prime</t>
  </si>
  <si>
    <t>Comes w/ Khora Prime</t>
  </si>
  <si>
    <t>Vulpaphyla</t>
  </si>
  <si>
    <t>Akaten</t>
  </si>
  <si>
    <t>Comes  w/ Hec Hound</t>
  </si>
  <si>
    <t>Hounds</t>
  </si>
  <si>
    <t>Artax</t>
  </si>
  <si>
    <t>Comes w/ Taxon</t>
  </si>
  <si>
    <t>Batoten</t>
  </si>
  <si>
    <t>Comes w/ Dorma Hound</t>
  </si>
  <si>
    <t>Lambeo</t>
  </si>
  <si>
    <t>Total Companions</t>
  </si>
  <si>
    <t>Burst Laser</t>
  </si>
  <si>
    <t>Comes w/ Shade</t>
  </si>
  <si>
    <t>Nychus</t>
  </si>
  <si>
    <t>Cryotra</t>
  </si>
  <si>
    <t>Oloro</t>
  </si>
  <si>
    <t>Deconstructor</t>
  </si>
  <si>
    <t>Comes w/ Helios</t>
  </si>
  <si>
    <t>Para</t>
  </si>
  <si>
    <t>Deth Machine Rifle</t>
  </si>
  <si>
    <t>Comes w/ Dethcube</t>
  </si>
  <si>
    <t>Helstrum</t>
  </si>
  <si>
    <t>Lacerten</t>
  </si>
  <si>
    <t>Comes w/ Bhaira Hound</t>
  </si>
  <si>
    <t>Medjay Predasite</t>
  </si>
  <si>
    <t>Laser Rifle</t>
  </si>
  <si>
    <t>Comes w/ Wyrm</t>
  </si>
  <si>
    <t>Pharaoh Predasite</t>
  </si>
  <si>
    <t>Multron</t>
  </si>
  <si>
    <t>Comes w/ Oxylus</t>
  </si>
  <si>
    <t>Vizier Predasite</t>
  </si>
  <si>
    <t>Prisma Burst Laser</t>
  </si>
  <si>
    <t>Comes w/ Prisma Shade</t>
  </si>
  <si>
    <t>Stinger</t>
  </si>
  <si>
    <t>Comes w/ Djinn</t>
  </si>
  <si>
    <t>Sweeper</t>
  </si>
  <si>
    <t>Comes w/ Carrier</t>
  </si>
  <si>
    <t>Crescent Vulpaphyla</t>
  </si>
  <si>
    <t>Tazicor</t>
  </si>
  <si>
    <t>Panzer Vulpaphyla</t>
  </si>
  <si>
    <t>Verglas</t>
  </si>
  <si>
    <t>Comes w/ Nautilus</t>
  </si>
  <si>
    <t>Sly Vulpaphyla</t>
  </si>
  <si>
    <t>Vulcax</t>
  </si>
  <si>
    <t>Vulklok</t>
  </si>
  <si>
    <t>Comes w/ Diriga</t>
  </si>
  <si>
    <t>Hound</t>
  </si>
  <si>
    <t>Bhaira</t>
  </si>
  <si>
    <t>Sisters of Parvos</t>
  </si>
  <si>
    <t>Prime Sentinels</t>
  </si>
  <si>
    <t>Dorma</t>
  </si>
  <si>
    <t>Carrier Prime</t>
  </si>
  <si>
    <t>Hec</t>
  </si>
  <si>
    <t>Dethcube Prime</t>
  </si>
  <si>
    <t>Helios Prime</t>
  </si>
  <si>
    <t>Nautilus Prime</t>
  </si>
  <si>
    <t>Shade Prime</t>
  </si>
  <si>
    <t>Wyrm Prime</t>
  </si>
  <si>
    <t>Prime R. Weapons</t>
  </si>
  <si>
    <t>Burst Laser Prime</t>
  </si>
  <si>
    <t>Comes w/ Shade Prime</t>
  </si>
  <si>
    <t>Deconstructor Prime</t>
  </si>
  <si>
    <t>Comes w/ Helios Prime</t>
  </si>
  <si>
    <t>Deth Machine Rifle Prime</t>
  </si>
  <si>
    <t>Comes w/ Dethcube Prime</t>
  </si>
  <si>
    <t>Prime Laser Rifle</t>
  </si>
  <si>
    <t>Comes w/ Wyrm Prime</t>
  </si>
  <si>
    <t>Sweeper Prime</t>
  </si>
  <si>
    <t>Comes w/ Carrier Prime</t>
  </si>
  <si>
    <t>Verglas Prime</t>
  </si>
  <si>
    <t>Comes w/ Nautilus Prime</t>
  </si>
  <si>
    <t>Archwings</t>
  </si>
  <si>
    <t>Amesha</t>
  </si>
  <si>
    <t>Elytron</t>
  </si>
  <si>
    <t>Itzal</t>
  </si>
  <si>
    <t>Odonata</t>
  </si>
  <si>
    <t>Quest - The Archwing</t>
  </si>
  <si>
    <t>Total Archwing</t>
  </si>
  <si>
    <t>Corvas Prime</t>
  </si>
  <si>
    <t>Larkspur Prime</t>
  </si>
  <si>
    <t>Total Arch-Gun</t>
  </si>
  <si>
    <t>Odonata Prime</t>
  </si>
  <si>
    <t>Level 40 Archguns</t>
  </si>
  <si>
    <t>Arch-Guns</t>
  </si>
  <si>
    <t>Total Arch-Melee</t>
  </si>
  <si>
    <t>Arbucep</t>
  </si>
  <si>
    <t>Cortege</t>
  </si>
  <si>
    <t>Syndicate - Necraloid</t>
  </si>
  <si>
    <t>Total K-Drive</t>
  </si>
  <si>
    <t>Corvas</t>
  </si>
  <si>
    <t>Necramech</t>
  </si>
  <si>
    <t>Cyngas</t>
  </si>
  <si>
    <t>Total Necramech</t>
  </si>
  <si>
    <t>Dual Decurion</t>
  </si>
  <si>
    <t>Level 40 Necramechs</t>
  </si>
  <si>
    <t>Fluctus</t>
  </si>
  <si>
    <t>Grattler</t>
  </si>
  <si>
    <t>Total Intrinsics</t>
  </si>
  <si>
    <t>Imperator</t>
  </si>
  <si>
    <t>Comes w/ Odonata</t>
  </si>
  <si>
    <t>Imperator Vandal</t>
  </si>
  <si>
    <t>Mission - Balor Fomorian Invasion</t>
  </si>
  <si>
    <t>Plexus</t>
  </si>
  <si>
    <t>Larkspur</t>
  </si>
  <si>
    <t>Mandonel</t>
  </si>
  <si>
    <t>Mission- Sanctum Anatomica</t>
  </si>
  <si>
    <t>Intrinsic</t>
  </si>
  <si>
    <t>Level</t>
  </si>
  <si>
    <t>Mausolon</t>
  </si>
  <si>
    <t>Comes w/ Necramech</t>
  </si>
  <si>
    <t>Tactical</t>
  </si>
  <si>
    <t>Morgha</t>
  </si>
  <si>
    <t>Piloting</t>
  </si>
  <si>
    <t>Phaedra</t>
  </si>
  <si>
    <t>Gunnery</t>
  </si>
  <si>
    <t>Prisma Dual Decurion</t>
  </si>
  <si>
    <t>Baro Ki'teer</t>
  </si>
  <si>
    <t>Engineering</t>
  </si>
  <si>
    <t>Velocitus</t>
  </si>
  <si>
    <t>Command</t>
  </si>
  <si>
    <t>Kuva Ayanga</t>
  </si>
  <si>
    <t>Kuva Lich</t>
  </si>
  <si>
    <t xml:space="preserve"> - Ranks 30-40</t>
  </si>
  <si>
    <t>Kuva Grattler</t>
  </si>
  <si>
    <t>Agkuza</t>
  </si>
  <si>
    <t>Centaur</t>
  </si>
  <si>
    <t>Kaszas</t>
  </si>
  <si>
    <t>Knux</t>
  </si>
  <si>
    <t>Clan: Chem Lab - Uses Furax to craft</t>
  </si>
  <si>
    <t>Onorix</t>
  </si>
  <si>
    <t>Prisma Veritux</t>
  </si>
  <si>
    <t>Rathbone</t>
  </si>
  <si>
    <t>Veritux</t>
  </si>
  <si>
    <t>K-Drive</t>
  </si>
  <si>
    <t>Bad Baby</t>
  </si>
  <si>
    <t>Syndicate - Ventkids</t>
  </si>
  <si>
    <t>Feverspine</t>
  </si>
  <si>
    <t>Mission - Cambion Drift</t>
  </si>
  <si>
    <t>Flatbelly</t>
  </si>
  <si>
    <t>Needlenose</t>
  </si>
  <si>
    <t>Runway</t>
  </si>
  <si>
    <t>Voidrig</t>
  </si>
  <si>
    <t>Bonewidow</t>
  </si>
  <si>
    <t>Cantic Prism</t>
  </si>
  <si>
    <t>Syndicate - Vox Solaris</t>
  </si>
  <si>
    <t>Granmu Prism</t>
  </si>
  <si>
    <t>Syndicate - The Quills</t>
  </si>
  <si>
    <t>Total Amp</t>
  </si>
  <si>
    <t>Klamora Prism</t>
  </si>
  <si>
    <t>Lega Prism</t>
  </si>
  <si>
    <t>Mote Prism</t>
  </si>
  <si>
    <t>Quest - Saya's Vigil</t>
  </si>
  <si>
    <t>Rahn Prism</t>
  </si>
  <si>
    <t>Raplak Prism</t>
  </si>
  <si>
    <t>Drifter Intrinsic</t>
  </si>
  <si>
    <t>Shwaak Prism</t>
  </si>
  <si>
    <t>Combat</t>
  </si>
  <si>
    <t>Sirocco</t>
  </si>
  <si>
    <t>Quest - The New War</t>
  </si>
  <si>
    <t>Riding</t>
  </si>
  <si>
    <t>Opportunity</t>
  </si>
  <si>
    <t>Endurance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</si>
</sst>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font>
      <sz val="10"/>
      <color rgb="FF000000"/>
      <name val="Arial"/>
    </font>
    <font>
      <sz val="14"/>
      <color rgb="FF000000"/>
      <name val="Arial"/>
    </font>
    <font>
      <sz val="14"/>
      <name val="Arial"/>
    </font>
    <font>
      <sz val="10"/>
      <name val="Arial"/>
    </font>
    <font>
      <i/>
      <sz val="10"/>
      <name val="Arial"/>
    </font>
    <font>
      <i/>
      <sz val="10"/>
      <name val="Arial"/>
    </font>
    <font>
      <sz val="10"/>
      <name val="Arial"/>
    </font>
    <font>
      <u/>
      <sz val="10"/>
      <color rgb="FF0000FF"/>
      <name val="Arial"/>
    </font>
    <font>
      <sz val="10"/>
      <name val="Arial"/>
    </font>
    <font>
      <b/>
      <sz val="10"/>
      <name val="Arial"/>
    </font>
    <font>
      <b/>
      <sz val="10"/>
      <name val="Arial"/>
    </font>
    <font>
      <b/>
      <sz val="10"/>
      <name val="Arial"/>
    </font>
    <font>
      <sz val="10"/>
      <name val="Arial"/>
    </font>
    <font>
      <sz val="10"/>
      <color rgb="FFEFEFEF"/>
      <name val="Arial"/>
    </font>
    <font>
      <sz val="10"/>
      <color rgb="FF000000"/>
      <name val="Arial"/>
    </font>
    <font>
      <sz val="10"/>
      <color rgb="FF000000"/>
      <name val="Arial"/>
    </font>
    <font>
      <b/>
      <sz val="10"/>
      <name val="Arial"/>
    </font>
    <font>
      <sz val="11"/>
      <color rgb="FF000000"/>
      <name val="Inconsolata"/>
    </font>
    <font>
      <b/>
      <sz val="10"/>
      <color rgb="FFFF0000"/>
      <name val="Arial"/>
    </font>
    <font>
      <sz val="10"/>
      <color rgb="FF000000"/>
      <name val="'Arial'"/>
    </font>
    <font>
      <sz val="10"/>
      <color rgb="FFFFFFFF"/>
      <name val="Arial"/>
    </font>
    <font>
      <sz val="8"/>
      <name val="Arial"/>
    </font>
    <font>
      <sz val="9"/>
      <color rgb="FFF4B400"/>
      <name val="Arial"/>
    </font>
    <font>
      <sz val="10"/>
      <color rgb="FFFFFFFF"/>
      <name val="Arial"/>
    </font>
    <font>
      <b/>
      <sz val="10"/>
      <color rgb="FFFF0000"/>
      <name val="Arial"/>
    </font>
    <font>
      <sz val="8"/>
      <name val="Arial"/>
    </font>
    <font>
      <sz val="9"/>
      <color rgb="FFA61D4C"/>
      <name val="Arial"/>
    </font>
    <font>
      <sz val="9"/>
      <color rgb="FF4285F4"/>
      <name val="Arial"/>
    </font>
    <font>
      <b/>
      <sz val="14"/>
      <color rgb="FFFF0000"/>
      <name val="Arial"/>
    </font>
    <font>
      <b/>
      <sz val="10"/>
      <color rgb="FF000000"/>
      <name val="Arial"/>
      <family val="2"/>
    </font>
    <font>
      <sz val="10"/>
      <color rgb="FF000000"/>
      <name val="Arial"/>
      <family val="2"/>
    </font>
  </fonts>
  <fills count="25">
    <fill>
      <patternFill patternType="none"/>
    </fill>
    <fill>
      <patternFill patternType="gray125"/>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
      <patternFill patternType="solid">
        <fgColor rgb="FFFFF2CC"/>
        <bgColor rgb="FFFFF2CC"/>
      </patternFill>
    </fill>
    <fill>
      <patternFill patternType="solid">
        <fgColor rgb="FFCCCCCC"/>
        <bgColor rgb="FFCCCCCC"/>
      </patternFill>
    </fill>
    <fill>
      <patternFill patternType="solid">
        <fgColor rgb="FFB6D7A8"/>
        <bgColor rgb="FFB6D7A8"/>
      </patternFill>
    </fill>
    <fill>
      <patternFill patternType="solid">
        <fgColor rgb="FFFFE599"/>
        <bgColor rgb="FFFFE599"/>
      </patternFill>
    </fill>
    <fill>
      <patternFill patternType="solid">
        <fgColor rgb="FFA61C00"/>
        <bgColor rgb="FFA61C00"/>
      </patternFill>
    </fill>
    <fill>
      <patternFill patternType="solid">
        <fgColor rgb="FF9FC5E8"/>
        <bgColor rgb="FF9FC5E8"/>
      </patternFill>
    </fill>
    <fill>
      <patternFill patternType="solid">
        <fgColor rgb="FFDD7E6B"/>
        <bgColor rgb="FFDD7E6B"/>
      </patternFill>
    </fill>
    <fill>
      <patternFill patternType="solid">
        <fgColor rgb="FFF9CB9C"/>
        <bgColor rgb="FFF9CB9C"/>
      </patternFill>
    </fill>
    <fill>
      <patternFill patternType="solid">
        <fgColor rgb="FFE06666"/>
        <bgColor rgb="FFE06666"/>
      </patternFill>
    </fill>
    <fill>
      <patternFill patternType="solid">
        <fgColor rgb="FFD5A6BD"/>
        <bgColor rgb="FFD5A6BD"/>
      </patternFill>
    </fill>
    <fill>
      <patternFill patternType="solid">
        <fgColor rgb="FFCC0000"/>
        <bgColor rgb="FFCC0000"/>
      </patternFill>
    </fill>
    <fill>
      <patternFill patternType="solid">
        <fgColor rgb="FFB4A7D6"/>
        <bgColor rgb="FFB4A7D6"/>
      </patternFill>
    </fill>
    <fill>
      <patternFill patternType="solid">
        <fgColor rgb="FFA64D79"/>
        <bgColor rgb="FFA64D79"/>
      </patternFill>
    </fill>
    <fill>
      <patternFill patternType="solid">
        <fgColor rgb="FFA4C2F4"/>
        <bgColor rgb="FFA4C2F4"/>
      </patternFill>
    </fill>
    <fill>
      <patternFill patternType="solid">
        <fgColor rgb="FFD3B194"/>
        <bgColor rgb="FFD3B194"/>
      </patternFill>
    </fill>
    <fill>
      <patternFill patternType="solid">
        <fgColor rgb="FFF5A5FF"/>
        <bgColor rgb="FFF5A5FF"/>
      </patternFill>
    </fill>
    <fill>
      <patternFill patternType="solid">
        <fgColor rgb="FF92FFB8"/>
        <bgColor rgb="FF92FFB8"/>
      </patternFill>
    </fill>
    <fill>
      <patternFill patternType="solid">
        <fgColor rgb="FFFFD966"/>
        <bgColor rgb="FFFFD966"/>
      </patternFill>
    </fill>
    <fill>
      <patternFill patternType="solid">
        <fgColor rgb="FFD9D9D9"/>
        <bgColor indexed="64"/>
      </patternFill>
    </fill>
    <fill>
      <patternFill patternType="solid">
        <fgColor rgb="FFFFFFFF"/>
        <bgColor indexed="64"/>
      </patternFill>
    </fill>
  </fills>
  <borders count="1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322">
    <xf numFmtId="0" fontId="0" fillId="0" borderId="0" xfId="0"/>
    <xf numFmtId="0" fontId="1" fillId="2" borderId="0" xfId="0" applyFont="1" applyFill="1"/>
    <xf numFmtId="0" fontId="2" fillId="2" borderId="0" xfId="0" applyFont="1" applyFill="1"/>
    <xf numFmtId="0" fontId="3" fillId="2" borderId="0" xfId="0" applyFont="1" applyFill="1"/>
    <xf numFmtId="0" fontId="3" fillId="0" borderId="2" xfId="0" applyFont="1" applyBorder="1"/>
    <xf numFmtId="0" fontId="3" fillId="0" borderId="3" xfId="0" applyFont="1" applyBorder="1"/>
    <xf numFmtId="0" fontId="4" fillId="0" borderId="0" xfId="0" applyFont="1"/>
    <xf numFmtId="0" fontId="6" fillId="0" borderId="2" xfId="0" applyFont="1" applyBorder="1" applyAlignment="1">
      <alignment horizontal="left"/>
    </xf>
    <xf numFmtId="0" fontId="6" fillId="4" borderId="2" xfId="0" applyFont="1" applyFill="1" applyBorder="1" applyAlignment="1">
      <alignment horizontal="left"/>
    </xf>
    <xf numFmtId="0" fontId="2" fillId="0" borderId="0" xfId="0" applyFont="1"/>
    <xf numFmtId="0" fontId="3" fillId="0" borderId="4" xfId="0" applyFont="1" applyBorder="1"/>
    <xf numFmtId="0" fontId="6" fillId="0" borderId="0" xfId="0" applyFont="1" applyAlignment="1">
      <alignment horizontal="left"/>
    </xf>
    <xf numFmtId="0" fontId="3" fillId="0" borderId="5" xfId="0" applyFont="1" applyBorder="1"/>
    <xf numFmtId="0" fontId="3" fillId="0" borderId="0" xfId="0" applyFont="1"/>
    <xf numFmtId="0" fontId="8" fillId="0" borderId="0" xfId="0" applyFont="1"/>
    <xf numFmtId="0" fontId="3" fillId="0" borderId="6" xfId="0" applyFont="1" applyBorder="1"/>
    <xf numFmtId="0" fontId="3" fillId="0" borderId="7" xfId="0" applyFont="1" applyBorder="1"/>
    <xf numFmtId="0" fontId="3" fillId="0" borderId="8" xfId="0" applyFont="1" applyBorder="1"/>
    <xf numFmtId="0" fontId="9" fillId="4" borderId="0" xfId="0" applyFont="1" applyFill="1"/>
    <xf numFmtId="0" fontId="9" fillId="4" borderId="0" xfId="0" applyFont="1" applyFill="1" applyAlignment="1">
      <alignment horizontal="right"/>
    </xf>
    <xf numFmtId="0" fontId="9" fillId="3" borderId="9" xfId="0" applyFont="1" applyFill="1" applyBorder="1"/>
    <xf numFmtId="0" fontId="9" fillId="3" borderId="10" xfId="0" applyFont="1" applyFill="1" applyBorder="1" applyAlignment="1">
      <alignment horizontal="right"/>
    </xf>
    <xf numFmtId="0" fontId="10" fillId="3" borderId="9" xfId="0" applyFont="1" applyFill="1" applyBorder="1" applyAlignment="1">
      <alignment horizontal="left"/>
    </xf>
    <xf numFmtId="0" fontId="11" fillId="3" borderId="11" xfId="0" applyFont="1" applyFill="1" applyBorder="1" applyAlignment="1">
      <alignment horizontal="center"/>
    </xf>
    <xf numFmtId="0" fontId="11" fillId="3" borderId="10" xfId="0" applyFont="1" applyFill="1" applyBorder="1" applyAlignment="1">
      <alignment horizontal="center"/>
    </xf>
    <xf numFmtId="0" fontId="10" fillId="3" borderId="1" xfId="0" applyFont="1" applyFill="1" applyBorder="1" applyAlignment="1">
      <alignment horizontal="left"/>
    </xf>
    <xf numFmtId="0" fontId="10" fillId="3" borderId="2" xfId="0" applyFont="1" applyFill="1" applyBorder="1"/>
    <xf numFmtId="0" fontId="11" fillId="3" borderId="3" xfId="0" applyFont="1" applyFill="1" applyBorder="1" applyAlignment="1">
      <alignment horizontal="center"/>
    </xf>
    <xf numFmtId="0" fontId="3" fillId="3" borderId="9" xfId="0" applyFont="1" applyFill="1" applyBorder="1"/>
    <xf numFmtId="0" fontId="10" fillId="3" borderId="10" xfId="0" applyFont="1" applyFill="1" applyBorder="1" applyAlignment="1">
      <alignment horizontal="left"/>
    </xf>
    <xf numFmtId="0" fontId="10" fillId="4" borderId="0" xfId="0" applyFont="1" applyFill="1" applyAlignment="1">
      <alignment horizontal="left"/>
    </xf>
    <xf numFmtId="0" fontId="10" fillId="3" borderId="10" xfId="0" applyFont="1" applyFill="1" applyBorder="1" applyAlignment="1">
      <alignment horizontal="right"/>
    </xf>
    <xf numFmtId="0" fontId="8" fillId="4" borderId="4" xfId="0" applyFont="1" applyFill="1" applyBorder="1"/>
    <xf numFmtId="3" fontId="8" fillId="4" borderId="5" xfId="0" applyNumberFormat="1" applyFont="1" applyFill="1" applyBorder="1" applyAlignment="1">
      <alignment horizontal="right"/>
    </xf>
    <xf numFmtId="0" fontId="12" fillId="4" borderId="4" xfId="0" applyFont="1" applyFill="1" applyBorder="1" applyAlignment="1">
      <alignment horizontal="left"/>
    </xf>
    <xf numFmtId="0" fontId="12" fillId="4" borderId="0" xfId="0" applyFont="1" applyFill="1" applyAlignment="1">
      <alignment horizontal="center"/>
    </xf>
    <xf numFmtId="0" fontId="12" fillId="4" borderId="5" xfId="0" applyFont="1" applyFill="1" applyBorder="1" applyAlignment="1">
      <alignment horizontal="center"/>
    </xf>
    <xf numFmtId="0" fontId="6" fillId="0" borderId="1" xfId="0" applyFont="1" applyBorder="1" applyAlignment="1">
      <alignment horizontal="left"/>
    </xf>
    <xf numFmtId="0" fontId="6" fillId="0" borderId="2" xfId="0" applyFont="1" applyBorder="1"/>
    <xf numFmtId="0" fontId="6" fillId="0" borderId="3" xfId="0" applyFont="1" applyBorder="1"/>
    <xf numFmtId="0" fontId="6" fillId="0" borderId="4" xfId="0" applyFont="1" applyBorder="1" applyAlignment="1">
      <alignment horizontal="left"/>
    </xf>
    <xf numFmtId="0" fontId="6" fillId="0" borderId="5" xfId="0" applyFont="1" applyBorder="1" applyAlignment="1">
      <alignment horizontal="left"/>
    </xf>
    <xf numFmtId="0" fontId="8" fillId="0" borderId="5" xfId="0" applyFont="1" applyBorder="1" applyAlignment="1">
      <alignment horizontal="right"/>
    </xf>
    <xf numFmtId="0" fontId="6" fillId="0" borderId="0" xfId="0" applyFont="1"/>
    <xf numFmtId="0" fontId="6" fillId="0" borderId="5" xfId="0" applyFont="1" applyBorder="1"/>
    <xf numFmtId="0" fontId="6" fillId="4" borderId="4" xfId="0" applyFont="1" applyFill="1" applyBorder="1" applyAlignment="1">
      <alignment horizontal="left"/>
    </xf>
    <xf numFmtId="0" fontId="6" fillId="4" borderId="0" xfId="0" applyFont="1" applyFill="1" applyAlignment="1">
      <alignment horizontal="center"/>
    </xf>
    <xf numFmtId="0" fontId="13" fillId="4" borderId="0" xfId="0" applyFont="1" applyFill="1" applyAlignment="1">
      <alignment horizontal="left"/>
    </xf>
    <xf numFmtId="0" fontId="14" fillId="4" borderId="4" xfId="0" applyFont="1" applyFill="1" applyBorder="1" applyAlignment="1">
      <alignment horizontal="left"/>
    </xf>
    <xf numFmtId="0" fontId="14" fillId="4" borderId="5" xfId="0" applyFont="1" applyFill="1" applyBorder="1" applyAlignment="1">
      <alignment horizontal="left"/>
    </xf>
    <xf numFmtId="0" fontId="14" fillId="4" borderId="0" xfId="0" applyFont="1" applyFill="1" applyAlignment="1">
      <alignment horizontal="left"/>
    </xf>
    <xf numFmtId="0" fontId="15" fillId="4" borderId="5" xfId="0" applyFont="1" applyFill="1" applyBorder="1" applyAlignment="1">
      <alignment horizontal="right"/>
    </xf>
    <xf numFmtId="0" fontId="6" fillId="0" borderId="0" xfId="0" applyFont="1" applyAlignment="1">
      <alignment horizontal="center"/>
    </xf>
    <xf numFmtId="0" fontId="6" fillId="0" borderId="5" xfId="0" applyFont="1" applyBorder="1" applyAlignment="1">
      <alignment horizontal="center"/>
    </xf>
    <xf numFmtId="0" fontId="15" fillId="0" borderId="5" xfId="0" applyFont="1" applyBorder="1" applyAlignment="1">
      <alignment horizontal="right"/>
    </xf>
    <xf numFmtId="0" fontId="6" fillId="4" borderId="0" xfId="0" applyFont="1" applyFill="1" applyAlignment="1">
      <alignment horizontal="left"/>
    </xf>
    <xf numFmtId="0" fontId="12" fillId="4" borderId="0" xfId="0" applyFont="1" applyFill="1" applyAlignment="1">
      <alignment horizontal="left"/>
    </xf>
    <xf numFmtId="0" fontId="6" fillId="4" borderId="5" xfId="0" applyFont="1" applyFill="1" applyBorder="1" applyAlignment="1">
      <alignment horizontal="left"/>
    </xf>
    <xf numFmtId="0" fontId="3" fillId="3" borderId="6" xfId="0" applyFont="1" applyFill="1" applyBorder="1"/>
    <xf numFmtId="0" fontId="12" fillId="3" borderId="8" xfId="0" applyFont="1" applyFill="1" applyBorder="1" applyAlignment="1">
      <alignment horizontal="left"/>
    </xf>
    <xf numFmtId="0" fontId="12" fillId="3" borderId="6" xfId="0" applyFont="1" applyFill="1" applyBorder="1" applyAlignment="1">
      <alignment horizontal="left"/>
    </xf>
    <xf numFmtId="0" fontId="8" fillId="3" borderId="8" xfId="0" applyFont="1" applyFill="1" applyBorder="1" applyAlignment="1">
      <alignment horizontal="right"/>
    </xf>
    <xf numFmtId="0" fontId="6" fillId="0" borderId="6" xfId="0" applyFont="1" applyBorder="1" applyAlignment="1">
      <alignment horizontal="left"/>
    </xf>
    <xf numFmtId="0" fontId="6" fillId="0" borderId="7" xfId="0" applyFont="1" applyBorder="1"/>
    <xf numFmtId="0" fontId="6" fillId="0" borderId="8" xfId="0" applyFont="1" applyBorder="1"/>
    <xf numFmtId="0" fontId="9" fillId="3" borderId="12" xfId="0" applyFont="1" applyFill="1" applyBorder="1"/>
    <xf numFmtId="0" fontId="8" fillId="0" borderId="3" xfId="0" applyFont="1" applyBorder="1"/>
    <xf numFmtId="0" fontId="16" fillId="4" borderId="0" xfId="0" applyFont="1" applyFill="1"/>
    <xf numFmtId="0" fontId="16" fillId="3" borderId="12" xfId="0" applyFont="1" applyFill="1" applyBorder="1"/>
    <xf numFmtId="1" fontId="3" fillId="0" borderId="12" xfId="0" applyNumberFormat="1" applyFont="1" applyBorder="1"/>
    <xf numFmtId="0" fontId="6" fillId="3" borderId="6" xfId="0" applyFont="1" applyFill="1" applyBorder="1" applyAlignment="1">
      <alignment horizontal="left"/>
    </xf>
    <xf numFmtId="0" fontId="6" fillId="3" borderId="8" xfId="0" applyFont="1" applyFill="1" applyBorder="1"/>
    <xf numFmtId="0" fontId="9" fillId="3" borderId="13" xfId="0" applyFont="1" applyFill="1" applyBorder="1"/>
    <xf numFmtId="0" fontId="8" fillId="4" borderId="8" xfId="0" applyFont="1" applyFill="1" applyBorder="1"/>
    <xf numFmtId="0" fontId="16" fillId="3" borderId="13" xfId="0" applyFont="1" applyFill="1" applyBorder="1"/>
    <xf numFmtId="0" fontId="3" fillId="4" borderId="13" xfId="0" applyFont="1" applyFill="1" applyBorder="1" applyAlignment="1">
      <alignment horizontal="right"/>
    </xf>
    <xf numFmtId="0" fontId="12" fillId="3" borderId="9" xfId="0" applyFont="1" applyFill="1" applyBorder="1" applyAlignment="1">
      <alignment horizontal="left"/>
    </xf>
    <xf numFmtId="0" fontId="12" fillId="3" borderId="10" xfId="0" applyFont="1" applyFill="1" applyBorder="1" applyAlignment="1">
      <alignment horizontal="left"/>
    </xf>
    <xf numFmtId="0" fontId="12" fillId="3" borderId="14" xfId="0" applyFont="1" applyFill="1" applyBorder="1" applyAlignment="1">
      <alignment horizontal="left"/>
    </xf>
    <xf numFmtId="0" fontId="3" fillId="0" borderId="9" xfId="0" applyFont="1" applyBorder="1"/>
    <xf numFmtId="0" fontId="3" fillId="0" borderId="10" xfId="0" applyFont="1" applyBorder="1"/>
    <xf numFmtId="0" fontId="12" fillId="4" borderId="14" xfId="0" applyFont="1" applyFill="1" applyBorder="1" applyAlignment="1">
      <alignment horizontal="right"/>
    </xf>
    <xf numFmtId="0" fontId="17" fillId="4" borderId="0" xfId="0" applyFont="1" applyFill="1"/>
    <xf numFmtId="0" fontId="12" fillId="4" borderId="6" xfId="0" applyFont="1" applyFill="1" applyBorder="1" applyAlignment="1">
      <alignment horizontal="left"/>
    </xf>
    <xf numFmtId="0" fontId="12" fillId="4" borderId="7" xfId="0" applyFont="1" applyFill="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12" fillId="3" borderId="7" xfId="0" applyFont="1" applyFill="1" applyBorder="1" applyAlignment="1">
      <alignment horizontal="right"/>
    </xf>
    <xf numFmtId="1" fontId="6" fillId="3" borderId="8" xfId="0" applyNumberFormat="1" applyFont="1" applyFill="1" applyBorder="1" applyAlignment="1">
      <alignment horizontal="right"/>
    </xf>
    <xf numFmtId="0" fontId="3" fillId="4" borderId="0" xfId="0" applyFont="1" applyFill="1"/>
    <xf numFmtId="0" fontId="3" fillId="4" borderId="0" xfId="0" applyFont="1" applyFill="1" applyAlignment="1">
      <alignment horizontal="right"/>
    </xf>
    <xf numFmtId="0" fontId="12" fillId="4" borderId="8" xfId="0" applyFont="1" applyFill="1" applyBorder="1" applyAlignment="1">
      <alignment horizontal="center"/>
    </xf>
    <xf numFmtId="0" fontId="12" fillId="4" borderId="12" xfId="0" applyFont="1" applyFill="1" applyBorder="1" applyAlignment="1">
      <alignment horizontal="right"/>
    </xf>
    <xf numFmtId="0" fontId="16" fillId="3" borderId="14" xfId="0" applyFont="1" applyFill="1" applyBorder="1"/>
    <xf numFmtId="0" fontId="3" fillId="3" borderId="14" xfId="0" applyFont="1" applyFill="1" applyBorder="1"/>
    <xf numFmtId="0" fontId="3" fillId="4" borderId="14" xfId="0" applyFont="1" applyFill="1" applyBorder="1"/>
    <xf numFmtId="3" fontId="3" fillId="4" borderId="5" xfId="0" applyNumberFormat="1" applyFont="1" applyFill="1" applyBorder="1"/>
    <xf numFmtId="0" fontId="8" fillId="4" borderId="6" xfId="0" applyFont="1" applyFill="1" applyBorder="1"/>
    <xf numFmtId="3" fontId="3" fillId="4" borderId="8" xfId="0" applyNumberFormat="1" applyFont="1" applyFill="1" applyBorder="1"/>
    <xf numFmtId="0" fontId="9" fillId="3" borderId="0" xfId="0" applyFont="1" applyFill="1"/>
    <xf numFmtId="0" fontId="9" fillId="3" borderId="1" xfId="0" applyFont="1" applyFill="1" applyBorder="1"/>
    <xf numFmtId="0" fontId="9" fillId="3" borderId="2" xfId="0" applyFont="1" applyFill="1" applyBorder="1"/>
    <xf numFmtId="0" fontId="9" fillId="3" borderId="3" xfId="0" applyFont="1" applyFill="1" applyBorder="1"/>
    <xf numFmtId="0" fontId="9" fillId="3" borderId="11" xfId="0" applyFont="1" applyFill="1" applyBorder="1"/>
    <xf numFmtId="0" fontId="9" fillId="3" borderId="10" xfId="0" applyFont="1" applyFill="1" applyBorder="1"/>
    <xf numFmtId="0" fontId="16" fillId="6" borderId="1" xfId="0" applyFont="1" applyFill="1" applyBorder="1"/>
    <xf numFmtId="0" fontId="16" fillId="6" borderId="2" xfId="0" applyFont="1" applyFill="1" applyBorder="1" applyAlignment="1">
      <alignment horizontal="right"/>
    </xf>
    <xf numFmtId="0" fontId="16" fillId="6" borderId="3" xfId="0" applyFont="1" applyFill="1" applyBorder="1" applyAlignment="1">
      <alignment horizontal="right"/>
    </xf>
    <xf numFmtId="0" fontId="8" fillId="4" borderId="1" xfId="0" applyFont="1" applyFill="1" applyBorder="1"/>
    <xf numFmtId="0" fontId="8" fillId="4" borderId="2" xfId="0" applyFont="1" applyFill="1" applyBorder="1"/>
    <xf numFmtId="0" fontId="3" fillId="4" borderId="2" xfId="0" applyFont="1" applyFill="1" applyBorder="1"/>
    <xf numFmtId="0" fontId="8" fillId="7" borderId="3" xfId="0" applyFont="1" applyFill="1" applyBorder="1"/>
    <xf numFmtId="0" fontId="3" fillId="4" borderId="4" xfId="0" applyFont="1" applyFill="1" applyBorder="1"/>
    <xf numFmtId="0" fontId="3" fillId="8" borderId="5" xfId="0" applyFont="1" applyFill="1" applyBorder="1"/>
    <xf numFmtId="0" fontId="3" fillId="0" borderId="1" xfId="0" applyFont="1" applyBorder="1"/>
    <xf numFmtId="0" fontId="8" fillId="4" borderId="0" xfId="0" applyFont="1" applyFill="1"/>
    <xf numFmtId="0" fontId="15" fillId="9" borderId="5" xfId="0" applyFont="1" applyFill="1" applyBorder="1"/>
    <xf numFmtId="0" fontId="8" fillId="10" borderId="5" xfId="0" applyFont="1" applyFill="1" applyBorder="1"/>
    <xf numFmtId="0" fontId="15" fillId="11" borderId="5" xfId="0" applyFont="1" applyFill="1" applyBorder="1"/>
    <xf numFmtId="0" fontId="3" fillId="2" borderId="1" xfId="0" applyFont="1" applyFill="1" applyBorder="1"/>
    <xf numFmtId="0" fontId="3" fillId="2" borderId="2" xfId="0" applyFont="1" applyFill="1" applyBorder="1"/>
    <xf numFmtId="0" fontId="3" fillId="2" borderId="3" xfId="0" applyFont="1" applyFill="1" applyBorder="1"/>
    <xf numFmtId="0" fontId="15" fillId="12" borderId="5" xfId="0" applyFont="1" applyFill="1" applyBorder="1"/>
    <xf numFmtId="0" fontId="3" fillId="2" borderId="9" xfId="0" applyFont="1" applyFill="1" applyBorder="1"/>
    <xf numFmtId="0" fontId="3" fillId="2" borderId="11" xfId="0" applyFont="1" applyFill="1" applyBorder="1"/>
    <xf numFmtId="0" fontId="3" fillId="2" borderId="10" xfId="0" applyFont="1" applyFill="1" applyBorder="1"/>
    <xf numFmtId="0" fontId="8" fillId="12" borderId="5" xfId="0" applyFont="1" applyFill="1" applyBorder="1"/>
    <xf numFmtId="0" fontId="8" fillId="7" borderId="5" xfId="0" applyFont="1" applyFill="1" applyBorder="1"/>
    <xf numFmtId="0" fontId="3" fillId="7" borderId="5" xfId="0" applyFont="1" applyFill="1" applyBorder="1"/>
    <xf numFmtId="0" fontId="8" fillId="11" borderId="5" xfId="0" applyFont="1" applyFill="1" applyBorder="1"/>
    <xf numFmtId="0" fontId="3" fillId="12" borderId="5" xfId="0" applyFont="1" applyFill="1" applyBorder="1"/>
    <xf numFmtId="0" fontId="15" fillId="7" borderId="5" xfId="0" applyFont="1" applyFill="1" applyBorder="1"/>
    <xf numFmtId="0" fontId="15" fillId="10" borderId="5" xfId="0" applyFont="1" applyFill="1" applyBorder="1"/>
    <xf numFmtId="0" fontId="3" fillId="4" borderId="6" xfId="0" applyFont="1" applyFill="1" applyBorder="1"/>
    <xf numFmtId="0" fontId="8" fillId="4" borderId="7" xfId="0" applyFont="1" applyFill="1" applyBorder="1"/>
    <xf numFmtId="0" fontId="3" fillId="8" borderId="8" xfId="0" applyFont="1" applyFill="1" applyBorder="1"/>
    <xf numFmtId="0" fontId="15" fillId="13" borderId="5" xfId="0" applyFont="1" applyFill="1" applyBorder="1"/>
    <xf numFmtId="0" fontId="8" fillId="0" borderId="9" xfId="0" applyFont="1" applyBorder="1"/>
    <xf numFmtId="0" fontId="8" fillId="0" borderId="11" xfId="0" applyFont="1" applyBorder="1"/>
    <xf numFmtId="0" fontId="15" fillId="9" borderId="10" xfId="0" applyFont="1" applyFill="1" applyBorder="1"/>
    <xf numFmtId="0" fontId="15" fillId="10" borderId="8" xfId="0" applyFont="1" applyFill="1" applyBorder="1"/>
    <xf numFmtId="0" fontId="9" fillId="3" borderId="5" xfId="0" applyFont="1" applyFill="1" applyBorder="1"/>
    <xf numFmtId="0" fontId="9" fillId="3" borderId="8" xfId="0" applyFont="1" applyFill="1" applyBorder="1"/>
    <xf numFmtId="0" fontId="8" fillId="0" borderId="5" xfId="0" applyFont="1" applyBorder="1"/>
    <xf numFmtId="0" fontId="8" fillId="0" borderId="15" xfId="0" applyFont="1" applyBorder="1"/>
    <xf numFmtId="0" fontId="8" fillId="14" borderId="0" xfId="0" applyFont="1" applyFill="1"/>
    <xf numFmtId="0" fontId="8" fillId="0" borderId="1" xfId="0" applyFont="1" applyBorder="1"/>
    <xf numFmtId="0" fontId="8" fillId="0" borderId="2" xfId="0" applyFont="1" applyBorder="1"/>
    <xf numFmtId="0" fontId="8" fillId="10" borderId="2" xfId="0" applyFont="1" applyFill="1" applyBorder="1"/>
    <xf numFmtId="0" fontId="8" fillId="0" borderId="4" xfId="0" applyFont="1" applyBorder="1"/>
    <xf numFmtId="0" fontId="8" fillId="12" borderId="2" xfId="0" applyFont="1" applyFill="1" applyBorder="1"/>
    <xf numFmtId="0" fontId="8" fillId="12" borderId="0" xfId="0" applyFont="1" applyFill="1"/>
    <xf numFmtId="0" fontId="8" fillId="7" borderId="0" xfId="0" applyFont="1" applyFill="1"/>
    <xf numFmtId="0" fontId="18" fillId="14" borderId="0" xfId="0" applyFont="1" applyFill="1"/>
    <xf numFmtId="0" fontId="15" fillId="10" borderId="0" xfId="0" applyFont="1" applyFill="1"/>
    <xf numFmtId="0" fontId="3" fillId="11" borderId="0" xfId="0" applyFont="1" applyFill="1"/>
    <xf numFmtId="0" fontId="18" fillId="7" borderId="0" xfId="0" applyFont="1" applyFill="1"/>
    <xf numFmtId="0" fontId="8" fillId="10" borderId="0" xfId="0" applyFont="1" applyFill="1"/>
    <xf numFmtId="0" fontId="3" fillId="7" borderId="0" xfId="0" applyFont="1" applyFill="1"/>
    <xf numFmtId="0" fontId="8" fillId="11" borderId="0" xfId="0" applyFont="1" applyFill="1"/>
    <xf numFmtId="0" fontId="8" fillId="15" borderId="0" xfId="0" applyFont="1" applyFill="1"/>
    <xf numFmtId="0" fontId="3" fillId="10" borderId="0" xfId="0" applyFont="1" applyFill="1"/>
    <xf numFmtId="0" fontId="8" fillId="0" borderId="6" xfId="0" applyFont="1" applyBorder="1"/>
    <xf numFmtId="0" fontId="8" fillId="0" borderId="7" xfId="0" applyFont="1" applyBorder="1"/>
    <xf numFmtId="0" fontId="18" fillId="7" borderId="7" xfId="0" applyFont="1" applyFill="1" applyBorder="1"/>
    <xf numFmtId="0" fontId="3" fillId="4" borderId="5" xfId="0" applyFont="1" applyFill="1" applyBorder="1"/>
    <xf numFmtId="0" fontId="3" fillId="4" borderId="7" xfId="0" applyFont="1" applyFill="1" applyBorder="1"/>
    <xf numFmtId="0" fontId="3" fillId="4" borderId="8" xfId="0" applyFont="1" applyFill="1" applyBorder="1"/>
    <xf numFmtId="0" fontId="3" fillId="12" borderId="0" xfId="0" applyFont="1" applyFill="1"/>
    <xf numFmtId="0" fontId="3" fillId="2" borderId="4" xfId="0" applyFont="1" applyFill="1" applyBorder="1"/>
    <xf numFmtId="0" fontId="3" fillId="2" borderId="5" xfId="0" applyFont="1" applyFill="1" applyBorder="1"/>
    <xf numFmtId="0" fontId="8" fillId="8" borderId="5" xfId="0" applyFont="1" applyFill="1" applyBorder="1"/>
    <xf numFmtId="0" fontId="3" fillId="11" borderId="7" xfId="0" applyFont="1" applyFill="1" applyBorder="1"/>
    <xf numFmtId="0" fontId="15" fillId="7" borderId="0" xfId="0" applyFont="1" applyFill="1"/>
    <xf numFmtId="0" fontId="15" fillId="10" borderId="2" xfId="0" applyFont="1" applyFill="1" applyBorder="1"/>
    <xf numFmtId="0" fontId="19" fillId="16" borderId="0" xfId="0" applyFont="1" applyFill="1"/>
    <xf numFmtId="0" fontId="8" fillId="16" borderId="5" xfId="0" applyFont="1" applyFill="1" applyBorder="1"/>
    <xf numFmtId="0" fontId="3" fillId="16" borderId="7" xfId="0" applyFont="1" applyFill="1" applyBorder="1"/>
    <xf numFmtId="0" fontId="15" fillId="12" borderId="0" xfId="0" applyFont="1" applyFill="1"/>
    <xf numFmtId="0" fontId="3" fillId="16" borderId="0" xfId="0" applyFont="1" applyFill="1"/>
    <xf numFmtId="0" fontId="8" fillId="9" borderId="0" xfId="0" applyFont="1" applyFill="1"/>
    <xf numFmtId="0" fontId="8" fillId="8" borderId="8" xfId="0" applyFont="1" applyFill="1" applyBorder="1"/>
    <xf numFmtId="0" fontId="8" fillId="16" borderId="0" xfId="0" applyFont="1" applyFill="1"/>
    <xf numFmtId="0" fontId="20" fillId="4" borderId="0" xfId="0" applyFont="1" applyFill="1"/>
    <xf numFmtId="0" fontId="8" fillId="7" borderId="7" xfId="0" applyFont="1" applyFill="1" applyBorder="1"/>
    <xf numFmtId="0" fontId="8" fillId="7" borderId="8" xfId="0" applyFont="1" applyFill="1" applyBorder="1"/>
    <xf numFmtId="0" fontId="21" fillId="14" borderId="0" xfId="0" applyFont="1" applyFill="1"/>
    <xf numFmtId="0" fontId="15" fillId="11" borderId="0" xfId="0" applyFont="1" applyFill="1"/>
    <xf numFmtId="0" fontId="3" fillId="9" borderId="0" xfId="0" applyFont="1" applyFill="1"/>
    <xf numFmtId="0" fontId="8" fillId="13" borderId="3" xfId="0" applyFont="1" applyFill="1" applyBorder="1"/>
    <xf numFmtId="0" fontId="3" fillId="13" borderId="8" xfId="0" applyFont="1" applyFill="1" applyBorder="1"/>
    <xf numFmtId="0" fontId="8" fillId="10" borderId="7" xfId="0" applyFont="1" applyFill="1" applyBorder="1"/>
    <xf numFmtId="0" fontId="8" fillId="13" borderId="5" xfId="0" applyFont="1" applyFill="1" applyBorder="1"/>
    <xf numFmtId="0" fontId="8" fillId="12" borderId="7" xfId="0" applyFont="1" applyFill="1" applyBorder="1"/>
    <xf numFmtId="0" fontId="8" fillId="0" borderId="2" xfId="0" applyFont="1" applyBorder="1" applyAlignment="1">
      <alignment horizontal="center"/>
    </xf>
    <xf numFmtId="0" fontId="8" fillId="0" borderId="7" xfId="0" applyFont="1" applyBorder="1" applyAlignment="1">
      <alignment horizontal="center"/>
    </xf>
    <xf numFmtId="0" fontId="8" fillId="13" borderId="8" xfId="0" applyFont="1" applyFill="1" applyBorder="1"/>
    <xf numFmtId="0" fontId="8" fillId="13" borderId="2" xfId="0" applyFont="1" applyFill="1" applyBorder="1"/>
    <xf numFmtId="0" fontId="3" fillId="13" borderId="7" xfId="0" applyFont="1" applyFill="1" applyBorder="1"/>
    <xf numFmtId="0" fontId="8" fillId="3" borderId="7" xfId="0" applyFont="1" applyFill="1" applyBorder="1"/>
    <xf numFmtId="0" fontId="8" fillId="13" borderId="7" xfId="0" applyFont="1" applyFill="1" applyBorder="1"/>
    <xf numFmtId="0" fontId="3" fillId="13" borderId="5" xfId="0" applyFont="1" applyFill="1" applyBorder="1"/>
    <xf numFmtId="0" fontId="22" fillId="0" borderId="0" xfId="0" applyFont="1"/>
    <xf numFmtId="0" fontId="23" fillId="4" borderId="0" xfId="0" applyFont="1" applyFill="1"/>
    <xf numFmtId="0" fontId="23" fillId="4" borderId="0" xfId="0" applyFont="1" applyFill="1" applyAlignment="1">
      <alignment horizontal="center"/>
    </xf>
    <xf numFmtId="0" fontId="18" fillId="7" borderId="2" xfId="0" applyFont="1" applyFill="1" applyBorder="1"/>
    <xf numFmtId="0" fontId="3" fillId="8" borderId="3" xfId="0" applyFont="1" applyFill="1" applyBorder="1"/>
    <xf numFmtId="0" fontId="3" fillId="14" borderId="0" xfId="0" applyFont="1" applyFill="1"/>
    <xf numFmtId="0" fontId="24" fillId="8" borderId="5" xfId="0" applyFont="1" applyFill="1" applyBorder="1"/>
    <xf numFmtId="0" fontId="15" fillId="3" borderId="0" xfId="0" applyFont="1" applyFill="1"/>
    <xf numFmtId="0" fontId="18" fillId="10" borderId="0" xfId="0" applyFont="1" applyFill="1"/>
    <xf numFmtId="0" fontId="15" fillId="16" borderId="0" xfId="0" applyFont="1" applyFill="1"/>
    <xf numFmtId="0" fontId="3" fillId="12" borderId="7" xfId="0" applyFont="1" applyFill="1" applyBorder="1"/>
    <xf numFmtId="0" fontId="8" fillId="11" borderId="2" xfId="0" applyFont="1" applyFill="1" applyBorder="1"/>
    <xf numFmtId="0" fontId="15" fillId="4" borderId="0" xfId="0" applyFont="1" applyFill="1" applyAlignment="1">
      <alignment horizontal="left"/>
    </xf>
    <xf numFmtId="0" fontId="8" fillId="11" borderId="3" xfId="0" applyFont="1" applyFill="1" applyBorder="1"/>
    <xf numFmtId="0" fontId="8" fillId="11" borderId="8" xfId="0" applyFont="1" applyFill="1" applyBorder="1"/>
    <xf numFmtId="0" fontId="8" fillId="11" borderId="7" xfId="0" applyFont="1" applyFill="1" applyBorder="1"/>
    <xf numFmtId="0" fontId="9" fillId="2" borderId="0" xfId="0" applyFont="1" applyFill="1"/>
    <xf numFmtId="0" fontId="8" fillId="2" borderId="0" xfId="0" applyFont="1" applyFill="1"/>
    <xf numFmtId="0" fontId="8" fillId="17" borderId="2" xfId="0" applyFont="1" applyFill="1" applyBorder="1"/>
    <xf numFmtId="0" fontId="3" fillId="12" borderId="2" xfId="0" applyFont="1" applyFill="1" applyBorder="1"/>
    <xf numFmtId="0" fontId="18" fillId="9" borderId="0" xfId="0" applyFont="1" applyFill="1"/>
    <xf numFmtId="0" fontId="8" fillId="17" borderId="0" xfId="0" applyFont="1" applyFill="1"/>
    <xf numFmtId="0" fontId="24" fillId="7" borderId="0" xfId="0" applyFont="1" applyFill="1" applyAlignment="1">
      <alignment horizontal="left" vertical="center"/>
    </xf>
    <xf numFmtId="0" fontId="8" fillId="18" borderId="7" xfId="0" applyFont="1" applyFill="1" applyBorder="1"/>
    <xf numFmtId="0" fontId="8" fillId="7" borderId="2" xfId="0" applyFont="1" applyFill="1" applyBorder="1"/>
    <xf numFmtId="0" fontId="8" fillId="9" borderId="2" xfId="0" applyFont="1" applyFill="1" applyBorder="1"/>
    <xf numFmtId="0" fontId="18" fillId="11" borderId="0" xfId="0" applyFont="1" applyFill="1"/>
    <xf numFmtId="0" fontId="25" fillId="14" borderId="0" xfId="0" applyFont="1" applyFill="1"/>
    <xf numFmtId="0" fontId="3" fillId="3" borderId="0" xfId="0" applyFont="1" applyFill="1"/>
    <xf numFmtId="0" fontId="8" fillId="14" borderId="7" xfId="0" applyFont="1" applyFill="1" applyBorder="1"/>
    <xf numFmtId="0" fontId="8" fillId="0" borderId="0" xfId="0" applyFont="1" applyAlignment="1">
      <alignment horizontal="right"/>
    </xf>
    <xf numFmtId="0" fontId="8" fillId="18" borderId="0" xfId="0" applyFont="1" applyFill="1"/>
    <xf numFmtId="0" fontId="3" fillId="12" borderId="3" xfId="0" applyFont="1" applyFill="1" applyBorder="1"/>
    <xf numFmtId="0" fontId="8" fillId="10" borderId="8" xfId="0" applyFont="1" applyFill="1" applyBorder="1"/>
    <xf numFmtId="0" fontId="18" fillId="7" borderId="5" xfId="0" applyFont="1" applyFill="1" applyBorder="1"/>
    <xf numFmtId="0" fontId="3" fillId="0" borderId="11" xfId="0" applyFont="1" applyBorder="1"/>
    <xf numFmtId="0" fontId="18" fillId="7" borderId="3"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9" fillId="3" borderId="4" xfId="0" applyFont="1" applyFill="1" applyBorder="1"/>
    <xf numFmtId="0" fontId="3" fillId="11" borderId="8" xfId="0" applyFont="1" applyFill="1" applyBorder="1"/>
    <xf numFmtId="0" fontId="18" fillId="10" borderId="5" xfId="0" applyFont="1" applyFill="1" applyBorder="1"/>
    <xf numFmtId="0" fontId="3" fillId="11" borderId="5" xfId="0" applyFont="1" applyFill="1" applyBorder="1"/>
    <xf numFmtId="0" fontId="3" fillId="16" borderId="5" xfId="0" applyFont="1" applyFill="1" applyBorder="1"/>
    <xf numFmtId="0" fontId="18" fillId="10" borderId="8" xfId="0" applyFont="1" applyFill="1" applyBorder="1"/>
    <xf numFmtId="0" fontId="18" fillId="10" borderId="2" xfId="0" applyFont="1" applyFill="1" applyBorder="1"/>
    <xf numFmtId="0" fontId="8" fillId="9" borderId="7" xfId="0" applyFont="1" applyFill="1" applyBorder="1"/>
    <xf numFmtId="0" fontId="8" fillId="16" borderId="7" xfId="0" applyFont="1" applyFill="1" applyBorder="1"/>
    <xf numFmtId="0" fontId="19" fillId="11" borderId="5" xfId="0" applyFont="1" applyFill="1" applyBorder="1"/>
    <xf numFmtId="0" fontId="19" fillId="12" borderId="5" xfId="0" applyFont="1" applyFill="1" applyBorder="1"/>
    <xf numFmtId="0" fontId="8" fillId="11" borderId="11" xfId="0" applyFont="1" applyFill="1" applyBorder="1"/>
    <xf numFmtId="0" fontId="19" fillId="11" borderId="8" xfId="0" applyFont="1" applyFill="1" applyBorder="1"/>
    <xf numFmtId="0" fontId="8" fillId="2" borderId="14" xfId="0" applyFont="1" applyFill="1" applyBorder="1"/>
    <xf numFmtId="0" fontId="16" fillId="6" borderId="9" xfId="0" applyFont="1" applyFill="1" applyBorder="1"/>
    <xf numFmtId="0" fontId="9" fillId="6" borderId="14" xfId="0" applyFont="1" applyFill="1" applyBorder="1" applyAlignment="1">
      <alignment horizontal="right"/>
    </xf>
    <xf numFmtId="0" fontId="8" fillId="19" borderId="2" xfId="0" applyFont="1" applyFill="1" applyBorder="1"/>
    <xf numFmtId="0" fontId="19" fillId="19" borderId="0" xfId="0" applyFont="1" applyFill="1"/>
    <xf numFmtId="0" fontId="3" fillId="2" borderId="14" xfId="0" applyFont="1" applyFill="1" applyBorder="1"/>
    <xf numFmtId="0" fontId="8" fillId="2" borderId="14" xfId="0" applyFont="1" applyFill="1" applyBorder="1" applyAlignment="1">
      <alignment horizontal="right"/>
    </xf>
    <xf numFmtId="0" fontId="8" fillId="8" borderId="0" xfId="0" applyFont="1" applyFill="1"/>
    <xf numFmtId="0" fontId="8" fillId="20" borderId="7" xfId="0" applyFont="1" applyFill="1" applyBorder="1"/>
    <xf numFmtId="0" fontId="19" fillId="21" borderId="2" xfId="0" applyFont="1" applyFill="1" applyBorder="1"/>
    <xf numFmtId="0" fontId="8" fillId="21" borderId="0" xfId="0" applyFont="1" applyFill="1"/>
    <xf numFmtId="0" fontId="8" fillId="20" borderId="0" xfId="0" applyFont="1" applyFill="1"/>
    <xf numFmtId="0" fontId="8" fillId="3" borderId="0" xfId="0" applyFont="1" applyFill="1"/>
    <xf numFmtId="0" fontId="8" fillId="8" borderId="7" xfId="0" applyFont="1" applyFill="1" applyBorder="1"/>
    <xf numFmtId="0" fontId="8" fillId="3" borderId="3" xfId="0" applyFont="1" applyFill="1" applyBorder="1"/>
    <xf numFmtId="0" fontId="8" fillId="4" borderId="5" xfId="0" applyFont="1" applyFill="1" applyBorder="1" applyAlignment="1">
      <alignment horizontal="right"/>
    </xf>
    <xf numFmtId="0" fontId="8" fillId="3" borderId="5" xfId="0" applyFont="1" applyFill="1" applyBorder="1"/>
    <xf numFmtId="0" fontId="3" fillId="3" borderId="5" xfId="0" applyFont="1" applyFill="1" applyBorder="1"/>
    <xf numFmtId="0" fontId="8" fillId="3" borderId="8" xfId="0" applyFont="1" applyFill="1" applyBorder="1"/>
    <xf numFmtId="0" fontId="9" fillId="22" borderId="1" xfId="0" applyFont="1" applyFill="1" applyBorder="1"/>
    <xf numFmtId="0" fontId="9" fillId="22" borderId="2" xfId="0" applyFont="1" applyFill="1" applyBorder="1"/>
    <xf numFmtId="0" fontId="9" fillId="22" borderId="3" xfId="0" applyFont="1" applyFill="1" applyBorder="1"/>
    <xf numFmtId="0" fontId="26" fillId="0" borderId="0" xfId="0" applyFont="1"/>
    <xf numFmtId="0" fontId="3" fillId="3" borderId="8" xfId="0" applyFont="1" applyFill="1" applyBorder="1"/>
    <xf numFmtId="0" fontId="8" fillId="0" borderId="14" xfId="0" applyFont="1" applyBorder="1"/>
    <xf numFmtId="0" fontId="16" fillId="3" borderId="1" xfId="0" applyFont="1" applyFill="1" applyBorder="1"/>
    <xf numFmtId="0" fontId="9" fillId="3" borderId="14" xfId="0" applyFont="1" applyFill="1" applyBorder="1" applyAlignment="1">
      <alignment horizontal="right"/>
    </xf>
    <xf numFmtId="0" fontId="3" fillId="0" borderId="14" xfId="0" applyFont="1" applyBorder="1"/>
    <xf numFmtId="0" fontId="8" fillId="0" borderId="14" xfId="0" applyFont="1" applyBorder="1" applyAlignment="1">
      <alignment horizontal="right"/>
    </xf>
    <xf numFmtId="0" fontId="8" fillId="3" borderId="14" xfId="0" applyFont="1" applyFill="1" applyBorder="1" applyAlignment="1">
      <alignment horizontal="right"/>
    </xf>
    <xf numFmtId="0" fontId="8" fillId="9" borderId="8" xfId="0" applyFont="1" applyFill="1" applyBorder="1"/>
    <xf numFmtId="0" fontId="8" fillId="3" borderId="14" xfId="0" applyFont="1" applyFill="1" applyBorder="1"/>
    <xf numFmtId="0" fontId="8" fillId="8" borderId="3" xfId="0" applyFont="1" applyFill="1" applyBorder="1"/>
    <xf numFmtId="0" fontId="15" fillId="12" borderId="2" xfId="0" applyFont="1" applyFill="1" applyBorder="1"/>
    <xf numFmtId="0" fontId="3" fillId="6" borderId="9" xfId="0" applyFont="1" applyFill="1" applyBorder="1"/>
    <xf numFmtId="0" fontId="8" fillId="6" borderId="14" xfId="0" applyFont="1" applyFill="1" applyBorder="1"/>
    <xf numFmtId="0" fontId="8" fillId="6" borderId="14" xfId="0" applyFont="1" applyFill="1" applyBorder="1" applyAlignment="1">
      <alignment horizontal="right"/>
    </xf>
    <xf numFmtId="0" fontId="8" fillId="0" borderId="10" xfId="0" applyFont="1" applyBorder="1"/>
    <xf numFmtId="0" fontId="16" fillId="6" borderId="3" xfId="0" applyFont="1" applyFill="1" applyBorder="1"/>
    <xf numFmtId="0" fontId="27" fillId="0" borderId="0" xfId="0" applyFont="1"/>
    <xf numFmtId="0" fontId="8" fillId="0" borderId="0" xfId="0" applyFont="1" applyAlignment="1">
      <alignment horizontal="center"/>
    </xf>
    <xf numFmtId="0" fontId="8" fillId="13" borderId="0" xfId="0" applyFont="1" applyFill="1"/>
    <xf numFmtId="0" fontId="8" fillId="2" borderId="10" xfId="0" applyFont="1" applyFill="1" applyBorder="1"/>
    <xf numFmtId="0" fontId="8" fillId="2" borderId="10" xfId="0" applyFont="1" applyFill="1" applyBorder="1" applyAlignment="1">
      <alignment horizontal="right"/>
    </xf>
    <xf numFmtId="0" fontId="3" fillId="4" borderId="1" xfId="0" applyFont="1" applyFill="1" applyBorder="1"/>
    <xf numFmtId="0" fontId="8" fillId="4" borderId="14" xfId="0" applyFont="1" applyFill="1" applyBorder="1"/>
    <xf numFmtId="0" fontId="8" fillId="4" borderId="14" xfId="0" applyFont="1" applyFill="1" applyBorder="1" applyAlignment="1">
      <alignment horizontal="right"/>
    </xf>
    <xf numFmtId="0" fontId="8" fillId="9" borderId="5" xfId="0" applyFont="1" applyFill="1" applyBorder="1"/>
    <xf numFmtId="0" fontId="1" fillId="3" borderId="1" xfId="0" applyFont="1" applyFill="1" applyBorder="1" applyAlignment="1">
      <alignment horizontal="left"/>
    </xf>
    <xf numFmtId="0" fontId="3" fillId="0" borderId="2" xfId="0" applyFont="1" applyBorder="1"/>
    <xf numFmtId="0" fontId="3" fillId="0" borderId="3" xfId="0" applyFont="1" applyBorder="1"/>
    <xf numFmtId="0" fontId="5" fillId="0" borderId="1" xfId="0" applyFont="1" applyBorder="1" applyAlignment="1">
      <alignment horizontal="left" vertical="top"/>
    </xf>
    <xf numFmtId="0" fontId="3" fillId="0" borderId="4" xfId="0" applyFont="1" applyBorder="1"/>
    <xf numFmtId="0" fontId="3" fillId="0" borderId="6" xfId="0" applyFont="1" applyBorder="1"/>
    <xf numFmtId="0" fontId="6" fillId="5" borderId="2" xfId="0" applyFont="1" applyFill="1" applyBorder="1" applyAlignment="1">
      <alignment horizontal="center" vertical="center"/>
    </xf>
    <xf numFmtId="0" fontId="0" fillId="0" borderId="0" xfId="0"/>
    <xf numFmtId="0" fontId="7" fillId="5" borderId="2" xfId="0" applyFont="1" applyFill="1" applyBorder="1" applyAlignment="1">
      <alignment horizontal="center" vertical="center"/>
    </xf>
    <xf numFmtId="0" fontId="3" fillId="0" borderId="5" xfId="0" applyFont="1" applyBorder="1"/>
    <xf numFmtId="0" fontId="6" fillId="0" borderId="0" xfId="0" applyFont="1" applyAlignment="1">
      <alignment horizontal="left"/>
    </xf>
    <xf numFmtId="0" fontId="3" fillId="0" borderId="0" xfId="0" applyFont="1"/>
    <xf numFmtId="0" fontId="8" fillId="0" borderId="0" xfId="0" applyFont="1"/>
    <xf numFmtId="0" fontId="3" fillId="0" borderId="7" xfId="0" applyFont="1" applyBorder="1"/>
    <xf numFmtId="0" fontId="3" fillId="0" borderId="8" xfId="0" applyFont="1" applyBorder="1"/>
    <xf numFmtId="0" fontId="29" fillId="23" borderId="16" xfId="0" applyFont="1" applyFill="1" applyBorder="1" applyAlignment="1">
      <alignment wrapText="1"/>
    </xf>
    <xf numFmtId="0" fontId="30" fillId="24" borderId="17" xfId="0" applyFont="1" applyFill="1" applyBorder="1" applyAlignment="1">
      <alignment horizontal="center" vertical="center" wrapText="1"/>
    </xf>
    <xf numFmtId="0" fontId="30" fillId="24" borderId="17" xfId="0" applyFont="1" applyFill="1" applyBorder="1" applyAlignment="1">
      <alignment horizontal="center" wrapText="1"/>
    </xf>
    <xf numFmtId="0" fontId="30" fillId="24" borderId="18" xfId="0" applyFont="1" applyFill="1" applyBorder="1" applyAlignment="1">
      <alignment horizontal="center" wrapText="1"/>
    </xf>
  </cellXfs>
  <cellStyles count="1">
    <cellStyle name="Normal" xfId="0" builtinId="0"/>
  </cellStyles>
  <dxfs count="51">
    <dxf>
      <fill>
        <patternFill patternType="solid">
          <fgColor rgb="FFF6B26B"/>
          <bgColor rgb="FFF6B26B"/>
        </patternFill>
      </fill>
    </dxf>
    <dxf>
      <fill>
        <patternFill patternType="solid">
          <fgColor rgb="FF93C47D"/>
          <bgColor rgb="FF93C47D"/>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B7E1CD"/>
          <bgColor rgb="FFB7E1CD"/>
        </patternFill>
      </fill>
    </dxf>
    <dxf>
      <fill>
        <patternFill patternType="solid">
          <fgColor rgb="FFF6B26B"/>
          <bgColor rgb="FFF6B26B"/>
        </patternFill>
      </fill>
    </dxf>
    <dxf>
      <fill>
        <patternFill patternType="solid">
          <fgColor rgb="FF6AA84F"/>
          <bgColor rgb="FF6AA84F"/>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93C47D"/>
          <bgColor rgb="FF93C47D"/>
        </patternFill>
      </fill>
    </dxf>
    <dxf>
      <fill>
        <patternFill patternType="solid">
          <fgColor rgb="FFF6B26B"/>
          <bgColor rgb="FFF6B26B"/>
        </patternFill>
      </fill>
    </dxf>
    <dxf>
      <fill>
        <patternFill patternType="solid">
          <fgColor rgb="FF93C47D"/>
          <bgColor rgb="FF93C47D"/>
        </patternFill>
      </fill>
    </dxf>
    <dxf>
      <fill>
        <patternFill patternType="solid">
          <fgColor rgb="FFB7E1CD"/>
          <bgColor rgb="FFB7E1CD"/>
        </patternFill>
      </fill>
    </dxf>
    <dxf>
      <fill>
        <patternFill patternType="solid">
          <fgColor rgb="FF93C47D"/>
          <bgColor rgb="FF93C47D"/>
        </patternFill>
      </fill>
    </dxf>
    <dxf>
      <fill>
        <patternFill patternType="solid">
          <fgColor rgb="FFE06666"/>
          <bgColor rgb="FFE06666"/>
        </patternFill>
      </fill>
    </dxf>
    <dxf>
      <fill>
        <patternFill patternType="solid">
          <fgColor rgb="FF93C47D"/>
          <bgColor rgb="FF93C47D"/>
        </patternFill>
      </fill>
    </dxf>
    <dxf>
      <fill>
        <patternFill patternType="solid">
          <fgColor rgb="FFE06666"/>
          <bgColor rgb="FFE06666"/>
        </patternFill>
      </fill>
    </dxf>
    <dxf>
      <fill>
        <patternFill patternType="solid">
          <fgColor rgb="FFF6B26B"/>
          <bgColor rgb="FFF6B26B"/>
        </patternFill>
      </fill>
    </dxf>
    <dxf>
      <fill>
        <patternFill patternType="solid">
          <fgColor rgb="FF93C47D"/>
          <bgColor rgb="FF93C47D"/>
        </patternFill>
      </fill>
    </dxf>
    <dxf>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s>
  <tableStyles count="2">
    <tableStyle name="Main + Info-style" pivot="0" count="3" xr9:uid="{00000000-0011-0000-FFFF-FFFF00000000}">
      <tableStyleElement type="headerRow" dxfId="50"/>
      <tableStyleElement type="firstRowStripe" dxfId="49"/>
      <tableStyleElement type="secondRowStripe" dxfId="48"/>
    </tableStyle>
    <tableStyle name="Main + Info-style 2" pivot="0" count="3" xr9:uid="{00000000-0011-0000-FFFF-FFFF01000000}">
      <tableStyleElement type="headerRow" dxfId="47"/>
      <tableStyleElement type="firstRowStripe" dxfId="46"/>
      <tableStyleElement type="secondRowStripe" dxfId="4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Q15:R52">
  <tableColumns count="2">
    <tableColumn id="1" xr3:uid="{00000000-0010-0000-0000-000001000000}" name="Mastery Rank"/>
    <tableColumn id="2" xr3:uid="{00000000-0010-0000-0000-000002000000}" name="Affinity Needed"/>
  </tableColumns>
  <tableStyleInfo name="Main + Info-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43:C50" headerRowCount="0">
  <tableColumns count="2">
    <tableColumn id="1" xr3:uid="{00000000-0010-0000-0100-000001000000}" name="Column1"/>
    <tableColumn id="2" xr3:uid="{00000000-0010-0000-0100-000002000000}" name="Column2"/>
  </tableColumns>
  <tableStyleInfo name="Main + Info-style 2"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wiki.warframe.com/" TargetMode="External"/><Relationship Id="rId5" Type="http://schemas.openxmlformats.org/officeDocument/2006/relationships/comments" Target="../comments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52"/>
  <sheetViews>
    <sheetView topLeftCell="O13" workbookViewId="0">
      <selection activeCell="J33" sqref="J33"/>
    </sheetView>
  </sheetViews>
  <sheetFormatPr defaultColWidth="12.6328125" defaultRowHeight="15.75" customHeight="1"/>
  <cols>
    <col min="1" max="1" width="0.36328125" customWidth="1"/>
    <col min="2" max="2" width="12.7265625" customWidth="1"/>
    <col min="3" max="4" width="9.90625" customWidth="1"/>
    <col min="5" max="5" width="8.6328125" customWidth="1"/>
    <col min="6" max="6" width="10.26953125" customWidth="1"/>
    <col min="7" max="7" width="9.26953125" customWidth="1"/>
    <col min="8" max="8" width="10.08984375" customWidth="1"/>
    <col min="9" max="9" width="11.453125" customWidth="1"/>
    <col min="10" max="10" width="12.36328125" customWidth="1"/>
    <col min="11" max="11" width="13.08984375" customWidth="1"/>
    <col min="12" max="12" width="13.26953125" customWidth="1"/>
    <col min="13" max="13" width="13.7265625" customWidth="1"/>
    <col min="14" max="14" width="12.453125" customWidth="1"/>
    <col min="19" max="19" width="0.7265625" customWidth="1"/>
  </cols>
  <sheetData>
    <row r="1" spans="1:18" ht="1.5" customHeight="1">
      <c r="A1" s="1" t="s">
        <v>0</v>
      </c>
      <c r="B1" s="1"/>
      <c r="C1" s="2"/>
      <c r="D1" s="2"/>
      <c r="E1" s="2"/>
      <c r="F1" s="2"/>
      <c r="G1" s="2"/>
      <c r="H1" s="3"/>
    </row>
    <row r="2" spans="1:18" ht="18">
      <c r="A2" s="1"/>
      <c r="B2" s="303" t="s">
        <v>1</v>
      </c>
      <c r="C2" s="304"/>
      <c r="D2" s="304"/>
      <c r="E2" s="304"/>
      <c r="F2" s="304"/>
      <c r="G2" s="304"/>
      <c r="H2" s="304"/>
      <c r="I2" s="304"/>
      <c r="J2" s="304"/>
      <c r="K2" s="304"/>
      <c r="L2" s="304"/>
      <c r="M2" s="304"/>
      <c r="N2" s="304"/>
      <c r="O2" s="304"/>
      <c r="P2" s="305"/>
    </row>
    <row r="3" spans="1:18" ht="17.5">
      <c r="A3" s="6"/>
      <c r="B3" s="306" t="s">
        <v>2</v>
      </c>
      <c r="C3" s="7" t="s">
        <v>3</v>
      </c>
      <c r="D3" s="7"/>
      <c r="E3" s="7"/>
      <c r="F3" s="7"/>
      <c r="G3" s="7"/>
      <c r="H3" s="7"/>
      <c r="I3" s="7"/>
      <c r="J3" s="8"/>
      <c r="K3" s="7"/>
      <c r="L3" s="309" t="s">
        <v>4</v>
      </c>
      <c r="M3" s="311" t="s">
        <v>5</v>
      </c>
      <c r="N3" s="304"/>
      <c r="O3" s="304"/>
      <c r="P3" s="305"/>
      <c r="Q3" s="9"/>
    </row>
    <row r="4" spans="1:18" ht="12.5">
      <c r="B4" s="307"/>
      <c r="C4" s="313" t="s">
        <v>6</v>
      </c>
      <c r="D4" s="310"/>
      <c r="E4" s="310"/>
      <c r="F4" s="310"/>
      <c r="G4" s="310"/>
      <c r="H4" s="310"/>
      <c r="I4" s="310"/>
      <c r="J4" s="310"/>
      <c r="K4" s="310"/>
      <c r="L4" s="310"/>
      <c r="M4" s="310"/>
      <c r="N4" s="310"/>
      <c r="O4" s="310"/>
      <c r="P4" s="312"/>
    </row>
    <row r="5" spans="1:18" ht="12.5">
      <c r="B5" s="307"/>
      <c r="C5" s="313" t="s">
        <v>7</v>
      </c>
      <c r="D5" s="310"/>
      <c r="E5" s="310"/>
      <c r="F5" s="310"/>
      <c r="G5" s="310"/>
      <c r="H5" s="310"/>
      <c r="I5" s="310"/>
      <c r="J5" s="310"/>
      <c r="K5" s="310"/>
      <c r="L5" s="310"/>
      <c r="M5" s="310"/>
      <c r="N5" s="310"/>
      <c r="O5" s="310"/>
      <c r="P5" s="312"/>
    </row>
    <row r="6" spans="1:18" ht="12.5">
      <c r="B6" s="307"/>
      <c r="C6" s="314" t="s">
        <v>8</v>
      </c>
      <c r="D6" s="310"/>
      <c r="E6" s="310"/>
      <c r="F6" s="310"/>
      <c r="G6" s="310"/>
      <c r="H6" s="310"/>
      <c r="I6" s="310"/>
      <c r="J6" s="310"/>
      <c r="K6" s="310"/>
      <c r="L6" s="310"/>
      <c r="M6" s="310"/>
      <c r="N6" s="310"/>
      <c r="O6" s="310"/>
      <c r="P6" s="312"/>
    </row>
    <row r="7" spans="1:18" ht="12.5">
      <c r="B7" s="307"/>
      <c r="C7" s="315" t="s">
        <v>9</v>
      </c>
      <c r="D7" s="310"/>
      <c r="E7" s="310"/>
      <c r="F7" s="310"/>
      <c r="G7" s="310"/>
      <c r="H7" s="310"/>
      <c r="I7" s="310"/>
      <c r="J7" s="310"/>
      <c r="K7" s="310"/>
      <c r="L7" s="310"/>
      <c r="M7" s="310"/>
      <c r="N7" s="310"/>
      <c r="O7" s="310"/>
      <c r="P7" s="312"/>
    </row>
    <row r="8" spans="1:18" ht="12.5">
      <c r="B8" s="307"/>
      <c r="C8" s="310"/>
      <c r="D8" s="310"/>
      <c r="E8" s="310"/>
      <c r="F8" s="310"/>
      <c r="G8" s="310"/>
      <c r="H8" s="310"/>
      <c r="I8" s="310"/>
      <c r="J8" s="310"/>
      <c r="K8" s="310"/>
      <c r="L8" s="310"/>
      <c r="M8" s="310"/>
      <c r="N8" s="310"/>
      <c r="O8" s="310"/>
      <c r="P8" s="312"/>
    </row>
    <row r="9" spans="1:18" ht="12.5">
      <c r="B9" s="307"/>
      <c r="C9" s="310"/>
      <c r="D9" s="310"/>
      <c r="E9" s="310"/>
      <c r="F9" s="310"/>
      <c r="G9" s="310"/>
      <c r="H9" s="310"/>
      <c r="I9" s="310"/>
      <c r="J9" s="310"/>
      <c r="K9" s="310"/>
      <c r="L9" s="310"/>
      <c r="M9" s="310"/>
      <c r="N9" s="310"/>
      <c r="O9" s="310"/>
      <c r="P9" s="312"/>
    </row>
    <row r="10" spans="1:18" ht="12.5">
      <c r="B10" s="307"/>
      <c r="C10" s="310"/>
      <c r="D10" s="310"/>
      <c r="E10" s="310"/>
      <c r="F10" s="310"/>
      <c r="G10" s="310"/>
      <c r="H10" s="310"/>
      <c r="I10" s="310"/>
      <c r="J10" s="310"/>
      <c r="K10" s="310"/>
      <c r="L10" s="310"/>
      <c r="M10" s="310"/>
      <c r="N10" s="310"/>
      <c r="O10" s="310"/>
      <c r="P10" s="312"/>
    </row>
    <row r="11" spans="1:18" ht="12.5">
      <c r="B11" s="307"/>
      <c r="C11" s="310"/>
      <c r="D11" s="310"/>
      <c r="E11" s="310"/>
      <c r="F11" s="310"/>
      <c r="G11" s="310"/>
      <c r="H11" s="310"/>
      <c r="I11" s="310"/>
      <c r="J11" s="310"/>
      <c r="K11" s="310"/>
      <c r="L11" s="310"/>
      <c r="M11" s="310"/>
      <c r="N11" s="310"/>
      <c r="O11" s="310"/>
      <c r="P11" s="312"/>
    </row>
    <row r="12" spans="1:18" ht="12.5">
      <c r="B12" s="307"/>
      <c r="C12" s="310"/>
      <c r="D12" s="310"/>
      <c r="E12" s="310"/>
      <c r="F12" s="310"/>
      <c r="G12" s="310"/>
      <c r="H12" s="310"/>
      <c r="I12" s="310"/>
      <c r="J12" s="310"/>
      <c r="K12" s="310"/>
      <c r="L12" s="310"/>
      <c r="M12" s="310"/>
      <c r="N12" s="310"/>
      <c r="O12" s="310"/>
      <c r="P12" s="312"/>
    </row>
    <row r="13" spans="1:18" ht="12.5">
      <c r="B13" s="308"/>
      <c r="C13" s="316"/>
      <c r="D13" s="316"/>
      <c r="E13" s="316"/>
      <c r="F13" s="316"/>
      <c r="G13" s="316"/>
      <c r="H13" s="316"/>
      <c r="I13" s="316"/>
      <c r="J13" s="316"/>
      <c r="K13" s="316"/>
      <c r="L13" s="316"/>
      <c r="M13" s="316"/>
      <c r="N13" s="316"/>
      <c r="O13" s="316"/>
      <c r="P13" s="317"/>
    </row>
    <row r="14" spans="1:18" ht="13">
      <c r="B14" s="11"/>
      <c r="C14" s="13"/>
      <c r="D14" s="11"/>
      <c r="E14" s="11"/>
      <c r="F14" s="11"/>
      <c r="G14" s="11"/>
      <c r="H14" s="11"/>
      <c r="I14" s="11"/>
      <c r="J14" s="11"/>
      <c r="K14" s="11"/>
      <c r="L14" s="11"/>
      <c r="Q14" s="18"/>
      <c r="R14" s="19"/>
    </row>
    <row r="15" spans="1:18" ht="13">
      <c r="B15" s="11"/>
      <c r="C15" s="13"/>
      <c r="D15" s="11"/>
      <c r="E15" s="11"/>
      <c r="F15" s="11"/>
      <c r="G15" s="11"/>
      <c r="H15" s="11"/>
      <c r="I15" s="11"/>
      <c r="J15" s="11"/>
      <c r="K15" s="11"/>
      <c r="L15" s="11"/>
      <c r="Q15" s="20" t="s">
        <v>10</v>
      </c>
      <c r="R15" s="21" t="s">
        <v>11</v>
      </c>
    </row>
    <row r="16" spans="1:18" ht="13">
      <c r="B16" s="22" t="s">
        <v>12</v>
      </c>
      <c r="C16" s="23" t="s">
        <v>13</v>
      </c>
      <c r="D16" s="23" t="s">
        <v>14</v>
      </c>
      <c r="E16" s="24" t="s">
        <v>15</v>
      </c>
      <c r="G16" s="25" t="s">
        <v>16</v>
      </c>
      <c r="H16" s="26" t="s">
        <v>14</v>
      </c>
      <c r="I16" s="27" t="s">
        <v>15</v>
      </c>
      <c r="J16" s="11"/>
      <c r="K16" s="28" t="s">
        <v>17</v>
      </c>
      <c r="L16" s="29" t="s">
        <v>18</v>
      </c>
      <c r="M16" s="30"/>
      <c r="N16" s="22" t="s">
        <v>17</v>
      </c>
      <c r="O16" s="31" t="s">
        <v>19</v>
      </c>
      <c r="Q16" s="32" t="s">
        <v>20</v>
      </c>
      <c r="R16" s="33">
        <v>0</v>
      </c>
    </row>
    <row r="17" spans="2:18" ht="12.5">
      <c r="B17" s="34" t="s">
        <v>21</v>
      </c>
      <c r="C17" s="35">
        <v>11</v>
      </c>
      <c r="D17" s="35" t="b">
        <v>0</v>
      </c>
      <c r="E17" s="36" t="b">
        <v>0</v>
      </c>
      <c r="G17" s="37" t="s">
        <v>21</v>
      </c>
      <c r="H17" s="38" t="b">
        <v>0</v>
      </c>
      <c r="I17" s="39" t="b">
        <v>0</v>
      </c>
      <c r="J17" s="11"/>
      <c r="K17" s="40" t="s">
        <v>22</v>
      </c>
      <c r="L17" s="41" t="str">
        <f>Warframe!N6&amp;"/"&amp;Warframe!O7</f>
        <v>80/114</v>
      </c>
      <c r="M17" s="11"/>
      <c r="N17" s="40" t="s">
        <v>22</v>
      </c>
      <c r="O17" s="42" t="str">
        <f>Warframe!O6&amp;"/"&amp;Warframe!O7</f>
        <v>74/114</v>
      </c>
      <c r="Q17" s="32" t="s">
        <v>23</v>
      </c>
      <c r="R17" s="33">
        <v>2500</v>
      </c>
    </row>
    <row r="18" spans="2:18" ht="12.5">
      <c r="B18" s="34" t="s">
        <v>24</v>
      </c>
      <c r="C18" s="35">
        <v>15</v>
      </c>
      <c r="D18" s="35" t="b">
        <v>0</v>
      </c>
      <c r="E18" s="36" t="b">
        <v>0</v>
      </c>
      <c r="G18" s="40" t="s">
        <v>24</v>
      </c>
      <c r="H18" s="43" t="b">
        <v>0</v>
      </c>
      <c r="I18" s="44" t="b">
        <v>0</v>
      </c>
      <c r="J18" s="11"/>
      <c r="K18" s="40" t="s">
        <v>25</v>
      </c>
      <c r="L18" s="41" t="str">
        <f>(Primary!R15)&amp;"/"&amp;(Primary!S16)</f>
        <v>121/192</v>
      </c>
      <c r="M18" s="11"/>
      <c r="N18" s="40" t="s">
        <v>25</v>
      </c>
      <c r="O18" s="42" t="str">
        <f>(Primary!S15)&amp;"/"&amp;(Primary!S16)</f>
        <v>80/192</v>
      </c>
      <c r="Q18" s="32" t="s">
        <v>26</v>
      </c>
      <c r="R18" s="33">
        <v>10000</v>
      </c>
    </row>
    <row r="19" spans="2:18" ht="12.5">
      <c r="B19" s="34" t="s">
        <v>27</v>
      </c>
      <c r="C19" s="35">
        <v>15</v>
      </c>
      <c r="D19" s="35" t="b">
        <v>0</v>
      </c>
      <c r="E19" s="36" t="b">
        <v>0</v>
      </c>
      <c r="G19" s="40" t="s">
        <v>28</v>
      </c>
      <c r="H19" s="43" t="b">
        <v>0</v>
      </c>
      <c r="I19" s="44" t="b">
        <v>0</v>
      </c>
      <c r="J19" s="11"/>
      <c r="K19" s="40" t="s">
        <v>29</v>
      </c>
      <c r="L19" s="41" t="str">
        <f>Secondary!S12&amp;"/"&amp;Secondary!T13</f>
        <v>93/151</v>
      </c>
      <c r="M19" s="11"/>
      <c r="N19" s="40" t="s">
        <v>29</v>
      </c>
      <c r="O19" s="42" t="str">
        <f>Secondary!T12&amp;"/"&amp;Secondary!T13</f>
        <v>75/151</v>
      </c>
      <c r="Q19" s="32" t="s">
        <v>30</v>
      </c>
      <c r="R19" s="33">
        <v>22500</v>
      </c>
    </row>
    <row r="20" spans="2:18" ht="12.5">
      <c r="B20" s="45" t="s">
        <v>31</v>
      </c>
      <c r="C20" s="46">
        <v>8</v>
      </c>
      <c r="D20" s="35" t="b">
        <v>0</v>
      </c>
      <c r="E20" s="36" t="b">
        <v>0</v>
      </c>
      <c r="G20" s="40" t="s">
        <v>32</v>
      </c>
      <c r="H20" s="43" t="b">
        <v>0</v>
      </c>
      <c r="I20" s="44" t="b">
        <v>0</v>
      </c>
      <c r="J20" s="47"/>
      <c r="K20" s="48" t="s">
        <v>33</v>
      </c>
      <c r="L20" s="49" t="str">
        <f>Melee!W29&amp;"/"&amp;Melee!X30</f>
        <v>121/231</v>
      </c>
      <c r="M20" s="50"/>
      <c r="N20" s="48" t="s">
        <v>33</v>
      </c>
      <c r="O20" s="51" t="str">
        <f>Melee!X29&amp;"/"&amp;Melee!X30</f>
        <v>99/231</v>
      </c>
      <c r="Q20" s="32" t="s">
        <v>34</v>
      </c>
      <c r="R20" s="33">
        <v>40000</v>
      </c>
    </row>
    <row r="21" spans="2:18" ht="12.5">
      <c r="B21" s="45" t="s">
        <v>28</v>
      </c>
      <c r="C21" s="46">
        <v>18</v>
      </c>
      <c r="D21" s="35" t="b">
        <v>0</v>
      </c>
      <c r="E21" s="36" t="b">
        <v>0</v>
      </c>
      <c r="G21" s="40" t="s">
        <v>35</v>
      </c>
      <c r="H21" s="43" t="b">
        <v>0</v>
      </c>
      <c r="I21" s="44" t="b">
        <v>0</v>
      </c>
      <c r="J21" s="11"/>
      <c r="K21" s="40" t="s">
        <v>36</v>
      </c>
      <c r="L21" s="41" t="str">
        <f>(Companion!M5+Companion!M9)&amp;"/"&amp;(Companion!N6+Companion!N10)</f>
        <v>27/41</v>
      </c>
      <c r="M21" s="11"/>
      <c r="N21" s="40" t="s">
        <v>36</v>
      </c>
      <c r="O21" s="42" t="str">
        <f>(Companion!N5+Companion!N9)&amp;"/"&amp;(Companion!N6+Companion!N10)</f>
        <v>24/41</v>
      </c>
      <c r="Q21" s="32" t="s">
        <v>37</v>
      </c>
      <c r="R21" s="33">
        <v>62500</v>
      </c>
    </row>
    <row r="22" spans="2:18" ht="12.5">
      <c r="B22" s="34" t="s">
        <v>38</v>
      </c>
      <c r="C22" s="35">
        <v>15</v>
      </c>
      <c r="D22" s="52" t="b">
        <v>0</v>
      </c>
      <c r="E22" s="53" t="b">
        <v>0</v>
      </c>
      <c r="G22" s="40" t="s">
        <v>39</v>
      </c>
      <c r="H22" s="43" t="b">
        <v>0</v>
      </c>
      <c r="I22" s="44" t="b">
        <v>0</v>
      </c>
      <c r="J22" s="11"/>
      <c r="K22" s="40" t="s">
        <v>40</v>
      </c>
      <c r="L22" s="41" t="str">
        <f>(Companion!M17)&amp;"/"&amp;(Companion!N18)</f>
        <v>12/24</v>
      </c>
      <c r="M22" s="11"/>
      <c r="N22" s="40" t="s">
        <v>40</v>
      </c>
      <c r="O22" s="54" t="str">
        <f>(Companion!N17)&amp;"/"&amp;(Companion!N18)</f>
        <v>12/24</v>
      </c>
      <c r="Q22" s="32" t="s">
        <v>41</v>
      </c>
      <c r="R22" s="33">
        <v>90000</v>
      </c>
    </row>
    <row r="23" spans="2:18" ht="12.5">
      <c r="B23" s="45" t="s">
        <v>32</v>
      </c>
      <c r="C23" s="46">
        <v>11</v>
      </c>
      <c r="D23" s="52" t="b">
        <v>0</v>
      </c>
      <c r="E23" s="36" t="b">
        <v>0</v>
      </c>
      <c r="G23" s="40" t="s">
        <v>42</v>
      </c>
      <c r="H23" s="43" t="b">
        <v>0</v>
      </c>
      <c r="I23" s="44" t="b">
        <v>0</v>
      </c>
      <c r="J23" s="55"/>
      <c r="K23" s="40" t="s">
        <v>43</v>
      </c>
      <c r="L23" s="41" t="str">
        <f>(Vehicle!H5+Vehicle!H14+Vehicle!H16+COUNTIF(Vehicle!H22,"TRUE"))&amp;"/"&amp;(Vehicle!I6+Vehicle!I15+Vehicle!I17+COUNTA(Vehicle!H22))</f>
        <v>7/13</v>
      </c>
      <c r="M23" s="11"/>
      <c r="N23" s="40" t="s">
        <v>43</v>
      </c>
      <c r="O23" s="54" t="str">
        <f>(Vehicle!I5+Vehicle!I14+Vehicle!I16+COUNTIF(Vehicle!H22,"TRUE"))&amp;"/"&amp;(Vehicle!I6+Vehicle!I15+Vehicle!I17+COUNTA(Vehicle!H22))</f>
        <v>6/13</v>
      </c>
      <c r="Q23" s="32" t="s">
        <v>44</v>
      </c>
      <c r="R23" s="33">
        <v>122500</v>
      </c>
    </row>
    <row r="24" spans="2:18" ht="12.5">
      <c r="B24" s="45" t="s">
        <v>35</v>
      </c>
      <c r="C24" s="46">
        <v>14</v>
      </c>
      <c r="D24" s="52" t="b">
        <v>0</v>
      </c>
      <c r="E24" s="53" t="b">
        <v>0</v>
      </c>
      <c r="G24" s="40" t="s">
        <v>45</v>
      </c>
      <c r="H24" s="43" t="b">
        <v>0</v>
      </c>
      <c r="I24" s="44" t="b">
        <v>0</v>
      </c>
      <c r="J24" s="56"/>
      <c r="K24" s="45" t="s">
        <v>46</v>
      </c>
      <c r="L24" s="57" t="str">
        <f>Vehicle!H9&amp;"/"&amp;Vehicle!I10</f>
        <v>8/21</v>
      </c>
      <c r="M24" s="55"/>
      <c r="N24" s="45" t="s">
        <v>46</v>
      </c>
      <c r="O24" s="51" t="str">
        <f>Vehicle!I9&amp;"/"&amp;Vehicle!I10</f>
        <v>2/21</v>
      </c>
      <c r="Q24" s="32" t="s">
        <v>47</v>
      </c>
      <c r="R24" s="33">
        <v>160000</v>
      </c>
    </row>
    <row r="25" spans="2:18" ht="12.5">
      <c r="B25" s="40" t="s">
        <v>39</v>
      </c>
      <c r="C25" s="52">
        <v>16</v>
      </c>
      <c r="D25" s="52" t="b">
        <v>0</v>
      </c>
      <c r="E25" s="53" t="b">
        <v>0</v>
      </c>
      <c r="G25" s="40" t="s">
        <v>48</v>
      </c>
      <c r="H25" s="43" t="b">
        <v>0</v>
      </c>
      <c r="I25" s="44" t="b">
        <v>0</v>
      </c>
      <c r="J25" s="56"/>
      <c r="K25" s="45" t="s">
        <v>49</v>
      </c>
      <c r="L25" s="57" t="str">
        <f>Vehicle!H12&amp;"/"&amp;Vehicle!I13</f>
        <v>1/8</v>
      </c>
      <c r="M25" s="55"/>
      <c r="N25" s="45" t="s">
        <v>49</v>
      </c>
      <c r="O25" s="51" t="str">
        <f>Vehicle!I12&amp;"/"&amp;Vehicle!I13</f>
        <v>1/8</v>
      </c>
      <c r="Q25" s="32" t="s">
        <v>50</v>
      </c>
      <c r="R25" s="33">
        <v>202500</v>
      </c>
    </row>
    <row r="26" spans="2:18" ht="12.5">
      <c r="B26" s="45" t="s">
        <v>42</v>
      </c>
      <c r="C26" s="46">
        <v>14</v>
      </c>
      <c r="D26" s="52" t="b">
        <v>0</v>
      </c>
      <c r="E26" s="53" t="b">
        <v>0</v>
      </c>
      <c r="G26" s="40" t="s">
        <v>51</v>
      </c>
      <c r="H26" s="43" t="b">
        <v>0</v>
      </c>
      <c r="I26" s="44" t="b">
        <v>0</v>
      </c>
      <c r="J26" s="56"/>
      <c r="K26" s="45" t="s">
        <v>52</v>
      </c>
      <c r="L26" s="57" t="str">
        <f>AmpDrifter!H3&amp;"/"&amp;AmpDrifter!I4</f>
        <v>5/10</v>
      </c>
      <c r="M26" s="55"/>
      <c r="N26" s="45" t="s">
        <v>52</v>
      </c>
      <c r="O26" s="51" t="str">
        <f>AmpDrifter!I3&amp;"/"&amp;AmpDrifter!I4</f>
        <v>5/10</v>
      </c>
      <c r="Q26" s="32" t="s">
        <v>53</v>
      </c>
      <c r="R26" s="33">
        <v>250000</v>
      </c>
    </row>
    <row r="27" spans="2:18" ht="12.5">
      <c r="B27" s="45" t="s">
        <v>45</v>
      </c>
      <c r="C27" s="46">
        <v>15</v>
      </c>
      <c r="D27" s="52" t="b">
        <v>0</v>
      </c>
      <c r="E27" s="53" t="b">
        <v>0</v>
      </c>
      <c r="G27" s="40" t="s">
        <v>54</v>
      </c>
      <c r="H27" s="43" t="b">
        <v>0</v>
      </c>
      <c r="I27" s="44" t="b">
        <v>0</v>
      </c>
      <c r="J27" s="56"/>
      <c r="K27" s="58" t="s">
        <v>55</v>
      </c>
      <c r="L27" s="59" t="str">
        <f>SUM(COUNTIF(C40:C42,TRUE),Warframe!N6,Primary!R15,Secondary!S12,Melee!W29,Companion!M5,Companion!M9,Companion!M17,Vehicle!H5,Vehicle!H7,Vehicle!H12,Vehicle!H14,Vehicle!H16,AmpDrifter!H3)&amp;"/"&amp;SUM(Warframe!O7,Primary!S16,Secondary!T13,Melee!X30,Companion!N6,Companion!N10,Companion!N18,Vehicle!I6,Vehicle!I10,Vehicle!I13,Vehicle!I15,Vehicle!I17,AmpDrifter!I4,COUNTA(Vehicle!H22))</f>
        <v>474/805</v>
      </c>
      <c r="M27" s="56"/>
      <c r="N27" s="60" t="s">
        <v>56</v>
      </c>
      <c r="O27" s="61" t="str">
        <f>SUM(D44,D45,Warframe!O6,Primary!S15,Secondary!T12,Melee!X29,Companion!N5,Companion!N9,Companion!N17,Vehicle!I5,Vehicle!I7,Vehicle!I12,Vehicle!I14,Vehicle!I16,AmpDrifter!I3,COUNTIF(Vehicle!H22,"TRUE"))&amp;"/"&amp;SUM(Warframe!O7,Primary!S16,Secondary!T13,Melee!X30,Companion!N6,Companion!N10,Companion!N18,Vehicle!I6,Vehicle!I10,Vehicle!I13,Vehicle!I15,Vehicle!I17,AmpDrifter!I4,COUNTA(Vehicle!H22))</f>
        <v>378/805</v>
      </c>
      <c r="Q27" s="32" t="s">
        <v>57</v>
      </c>
      <c r="R27" s="33">
        <v>302500</v>
      </c>
    </row>
    <row r="28" spans="2:18" ht="12.5">
      <c r="B28" s="45" t="s">
        <v>48</v>
      </c>
      <c r="C28" s="46">
        <v>14</v>
      </c>
      <c r="D28" s="52" t="b">
        <v>0</v>
      </c>
      <c r="E28" s="53" t="b">
        <v>0</v>
      </c>
      <c r="G28" s="40" t="s">
        <v>58</v>
      </c>
      <c r="H28" s="43" t="b">
        <v>0</v>
      </c>
      <c r="I28" s="44" t="b">
        <v>0</v>
      </c>
      <c r="J28" s="56"/>
      <c r="O28" s="13"/>
      <c r="Q28" s="32" t="s">
        <v>59</v>
      </c>
      <c r="R28" s="33">
        <v>360000</v>
      </c>
    </row>
    <row r="29" spans="2:18" ht="13">
      <c r="B29" s="34" t="s">
        <v>51</v>
      </c>
      <c r="C29" s="35">
        <v>13</v>
      </c>
      <c r="D29" s="52" t="b">
        <v>0</v>
      </c>
      <c r="E29" s="53" t="b">
        <v>0</v>
      </c>
      <c r="G29" s="62" t="s">
        <v>60</v>
      </c>
      <c r="H29" s="63" t="b">
        <v>0</v>
      </c>
      <c r="I29" s="64" t="b">
        <v>0</v>
      </c>
      <c r="J29" s="56"/>
      <c r="K29" s="65" t="s">
        <v>61</v>
      </c>
      <c r="L29" s="66" t="str">
        <f>Vehicle!I19&amp;"/"&amp;Vehicle!I20</f>
        <v>41/50</v>
      </c>
      <c r="M29" s="67"/>
      <c r="N29" s="68" t="s">
        <v>62</v>
      </c>
      <c r="O29" s="69">
        <f>SUM(D37,E37,H30,H33,I30,J33,D44*6000,D45*3000,Warframe!O6*6000,Primary!S15*3000,Primary!S17*1000,Secondary!T12*3000,Secondary!T14*1000,Melee!X29*3000,Melee!X31*1000,Companion!N5*6000,Companion!N9*3000,Companion!N17*6000,Vehicle!I5*6000,Vehicle!I9*3000,Vehicle!I11*1000,Vehicle!I12*3000,Vehicle!I14*6000,Vehicle!I16*6000,Vehicle!I18*2000,AmpDrifter!I3*3000,AmpDrifter!I5*1500,Vehicle!H22*6000,Vehicle!I19*1500)</f>
        <v>1600672</v>
      </c>
      <c r="Q29" s="32" t="s">
        <v>63</v>
      </c>
      <c r="R29" s="33">
        <v>422500</v>
      </c>
    </row>
    <row r="30" spans="2:18" ht="13">
      <c r="B30" s="34" t="s">
        <v>54</v>
      </c>
      <c r="C30" s="35">
        <v>13</v>
      </c>
      <c r="D30" s="52" t="b">
        <v>0</v>
      </c>
      <c r="E30" s="53" t="b">
        <v>0</v>
      </c>
      <c r="G30" s="70" t="s">
        <v>64</v>
      </c>
      <c r="H30" s="71">
        <f t="shared" ref="H30:I30" si="0">COUNTIF(H17:H29,"TRUE")*1000</f>
        <v>0</v>
      </c>
      <c r="I30" s="71">
        <f t="shared" si="0"/>
        <v>0</v>
      </c>
      <c r="J30" s="56"/>
      <c r="K30" s="72" t="s">
        <v>65</v>
      </c>
      <c r="L30" s="73" t="str">
        <f>AmpDrifter!I5&amp;"/"&amp;AmpDrifter!I6</f>
        <v>38/40</v>
      </c>
      <c r="M30" s="67"/>
      <c r="N30" s="74" t="s">
        <v>66</v>
      </c>
      <c r="O30" s="75" t="str">
        <f>LOOKUP(O29,R16:R52,Q16:Q52)</f>
        <v>MR25</v>
      </c>
      <c r="Q30" s="32" t="s">
        <v>67</v>
      </c>
      <c r="R30" s="33">
        <v>490000</v>
      </c>
    </row>
    <row r="31" spans="2:18" ht="12.5">
      <c r="B31" s="34" t="s">
        <v>58</v>
      </c>
      <c r="C31" s="35">
        <v>16</v>
      </c>
      <c r="D31" s="52" t="b">
        <v>0</v>
      </c>
      <c r="E31" s="53" t="b">
        <v>0</v>
      </c>
      <c r="G31" s="56"/>
      <c r="H31" s="56"/>
      <c r="J31" s="56"/>
      <c r="Q31" s="32" t="s">
        <v>68</v>
      </c>
      <c r="R31" s="33">
        <v>562000</v>
      </c>
    </row>
    <row r="32" spans="2:18" ht="12.5">
      <c r="B32" s="34" t="s">
        <v>60</v>
      </c>
      <c r="C32" s="35">
        <v>13</v>
      </c>
      <c r="D32" s="52" t="b">
        <v>0</v>
      </c>
      <c r="E32" s="53" t="b">
        <v>0</v>
      </c>
      <c r="G32" s="76" t="s">
        <v>69</v>
      </c>
      <c r="H32" s="77"/>
      <c r="I32" s="77" t="s">
        <v>70</v>
      </c>
      <c r="J32" s="78"/>
      <c r="N32" s="13"/>
      <c r="O32" s="13"/>
      <c r="Q32" s="32" t="s">
        <v>71</v>
      </c>
      <c r="R32" s="33">
        <v>640000</v>
      </c>
    </row>
    <row r="33" spans="2:18" ht="12.5">
      <c r="B33" s="34" t="s">
        <v>72</v>
      </c>
      <c r="C33" s="35">
        <v>8</v>
      </c>
      <c r="D33" s="52" t="b">
        <v>0</v>
      </c>
      <c r="E33" s="53" t="b">
        <v>0</v>
      </c>
      <c r="G33" s="79" t="s">
        <v>73</v>
      </c>
      <c r="H33" s="80">
        <v>27569</v>
      </c>
      <c r="I33" s="79" t="s">
        <v>74</v>
      </c>
      <c r="J33" s="81">
        <v>3603</v>
      </c>
      <c r="N33" s="13"/>
      <c r="Q33" s="32" t="s">
        <v>75</v>
      </c>
      <c r="R33" s="33">
        <v>722500</v>
      </c>
    </row>
    <row r="34" spans="2:18" ht="14.5">
      <c r="B34" s="34" t="s">
        <v>76</v>
      </c>
      <c r="C34" s="35">
        <v>13</v>
      </c>
      <c r="D34" s="52" t="b">
        <v>0</v>
      </c>
      <c r="E34" s="53" t="b">
        <v>0</v>
      </c>
      <c r="J34" s="56"/>
      <c r="N34" s="82"/>
      <c r="Q34" s="32" t="s">
        <v>77</v>
      </c>
      <c r="R34" s="33">
        <v>810000</v>
      </c>
    </row>
    <row r="35" spans="2:18" ht="12.5">
      <c r="B35" s="34" t="s">
        <v>78</v>
      </c>
      <c r="C35" s="35">
        <v>5</v>
      </c>
      <c r="D35" s="52" t="b">
        <v>0</v>
      </c>
      <c r="E35" s="53" t="b">
        <v>0</v>
      </c>
      <c r="J35" s="56"/>
      <c r="N35" s="56"/>
      <c r="O35" s="56"/>
      <c r="Q35" s="32" t="s">
        <v>79</v>
      </c>
      <c r="R35" s="33">
        <v>902500</v>
      </c>
    </row>
    <row r="36" spans="2:18" ht="14.5">
      <c r="B36" s="83" t="s">
        <v>80</v>
      </c>
      <c r="C36" s="84">
        <v>3</v>
      </c>
      <c r="D36" s="85" t="b">
        <v>0</v>
      </c>
      <c r="E36" s="86" t="b">
        <v>0</v>
      </c>
      <c r="L36" s="56"/>
      <c r="M36" s="82"/>
      <c r="N36" s="56"/>
      <c r="O36" s="56"/>
      <c r="P36" s="11"/>
      <c r="Q36" s="32" t="s">
        <v>81</v>
      </c>
      <c r="R36" s="33">
        <v>1000000</v>
      </c>
    </row>
    <row r="37" spans="2:18" ht="12.5">
      <c r="B37" s="60" t="s">
        <v>82</v>
      </c>
      <c r="C37" s="87"/>
      <c r="D37" s="88">
        <f>SUMIF(D17:D36,"TRUE", C17:C36)*61.7053829</f>
        <v>0</v>
      </c>
      <c r="E37" s="88">
        <f>SUMIF(E17:E36,"TRUE", C17:C36)*61.7053829</f>
        <v>0</v>
      </c>
      <c r="J37" s="56"/>
      <c r="L37" s="56"/>
      <c r="M37" s="56"/>
      <c r="N37" s="56"/>
      <c r="O37" s="56"/>
      <c r="P37" s="11"/>
      <c r="Q37" s="32" t="s">
        <v>83</v>
      </c>
      <c r="R37" s="33">
        <v>1102500</v>
      </c>
    </row>
    <row r="38" spans="2:18" ht="12.5">
      <c r="B38" s="56"/>
      <c r="C38" s="56"/>
      <c r="D38" s="55"/>
      <c r="E38" s="56"/>
      <c r="F38" s="52"/>
      <c r="H38" s="56"/>
      <c r="J38" s="56"/>
      <c r="L38" s="56"/>
      <c r="M38" s="56"/>
      <c r="N38" s="56"/>
      <c r="O38" s="56"/>
      <c r="P38" s="11"/>
      <c r="Q38" s="32" t="s">
        <v>84</v>
      </c>
      <c r="R38" s="33">
        <v>1210000</v>
      </c>
    </row>
    <row r="39" spans="2:18" ht="13">
      <c r="B39" s="22" t="s">
        <v>85</v>
      </c>
      <c r="C39" s="23" t="s">
        <v>86</v>
      </c>
      <c r="D39" s="24" t="s">
        <v>87</v>
      </c>
      <c r="E39" s="56"/>
      <c r="G39" s="11"/>
      <c r="H39" s="11"/>
      <c r="J39" s="56"/>
      <c r="L39" s="56"/>
      <c r="M39" s="56"/>
      <c r="N39" s="56"/>
      <c r="O39" s="56"/>
      <c r="P39" s="11"/>
      <c r="Q39" s="32" t="s">
        <v>88</v>
      </c>
      <c r="R39" s="33">
        <v>1322500</v>
      </c>
    </row>
    <row r="40" spans="2:18" ht="13">
      <c r="B40" s="34" t="s">
        <v>89</v>
      </c>
      <c r="C40" s="35" t="b">
        <v>0</v>
      </c>
      <c r="D40" s="36" t="b">
        <v>0</v>
      </c>
      <c r="G40" s="11"/>
      <c r="H40" s="11"/>
      <c r="J40" s="56"/>
      <c r="L40" s="56"/>
      <c r="M40" s="56"/>
      <c r="N40" s="67"/>
      <c r="O40" s="89"/>
      <c r="P40" s="11"/>
      <c r="Q40" s="32" t="s">
        <v>90</v>
      </c>
      <c r="R40" s="33">
        <v>1440000</v>
      </c>
    </row>
    <row r="41" spans="2:18" ht="13">
      <c r="B41" s="34" t="s">
        <v>91</v>
      </c>
      <c r="C41" s="35" t="b">
        <v>0</v>
      </c>
      <c r="D41" s="36" t="b">
        <v>0</v>
      </c>
      <c r="E41" s="11"/>
      <c r="J41" s="56"/>
      <c r="L41" s="56"/>
      <c r="M41" s="56"/>
      <c r="N41" s="67"/>
      <c r="O41" s="90"/>
      <c r="P41" s="11"/>
      <c r="Q41" s="32" t="s">
        <v>92</v>
      </c>
      <c r="R41" s="33">
        <v>1562500</v>
      </c>
    </row>
    <row r="42" spans="2:18" ht="13">
      <c r="B42" s="83" t="s">
        <v>93</v>
      </c>
      <c r="C42" s="84" t="b">
        <v>0</v>
      </c>
      <c r="D42" s="91" t="b">
        <v>0</v>
      </c>
      <c r="E42" s="11"/>
      <c r="J42" s="56"/>
      <c r="L42" s="67"/>
      <c r="M42" s="67"/>
      <c r="N42" s="11"/>
      <c r="O42" s="11"/>
      <c r="P42" s="11"/>
      <c r="Q42" s="32" t="s">
        <v>94</v>
      </c>
      <c r="R42" s="33">
        <v>1690000</v>
      </c>
    </row>
    <row r="43" spans="2:18" ht="13">
      <c r="B43" s="89"/>
      <c r="C43" s="89"/>
      <c r="D43" s="89"/>
      <c r="J43" s="56"/>
      <c r="L43" s="67"/>
      <c r="M43" s="67"/>
      <c r="N43" s="11"/>
      <c r="O43" s="11"/>
      <c r="P43" s="11"/>
      <c r="Q43" s="32" t="s">
        <v>95</v>
      </c>
      <c r="R43" s="33">
        <v>1822500</v>
      </c>
    </row>
    <row r="44" spans="2:18" ht="13">
      <c r="B44" s="68" t="s">
        <v>96</v>
      </c>
      <c r="C44" s="68"/>
      <c r="D44" s="92">
        <f>COUNTIF(D40,"true")</f>
        <v>0</v>
      </c>
      <c r="J44" s="11"/>
      <c r="L44" s="11"/>
      <c r="M44" s="11"/>
      <c r="N44" s="11"/>
      <c r="O44" s="11"/>
      <c r="P44" s="11"/>
      <c r="Q44" s="32" t="s">
        <v>97</v>
      </c>
      <c r="R44" s="33">
        <v>1960000</v>
      </c>
    </row>
    <row r="45" spans="2:18" ht="13">
      <c r="B45" s="74" t="s">
        <v>98</v>
      </c>
      <c r="C45" s="74"/>
      <c r="D45" s="75">
        <f>COUNTIF(D41:D42,"true")</f>
        <v>0</v>
      </c>
      <c r="J45" s="11"/>
      <c r="L45" s="11"/>
      <c r="M45" s="11"/>
      <c r="N45" s="11"/>
      <c r="O45" s="11"/>
      <c r="P45" s="11"/>
      <c r="Q45" s="32" t="s">
        <v>99</v>
      </c>
      <c r="R45" s="33">
        <v>2102500</v>
      </c>
    </row>
    <row r="46" spans="2:18" ht="13">
      <c r="B46" s="93" t="s">
        <v>100</v>
      </c>
      <c r="C46" s="94"/>
      <c r="D46" s="95">
        <v>3</v>
      </c>
      <c r="G46" s="11"/>
      <c r="H46" s="11"/>
      <c r="J46" s="11"/>
      <c r="L46" s="11"/>
      <c r="M46" s="11"/>
      <c r="P46" s="11"/>
      <c r="Q46" s="32" t="s">
        <v>101</v>
      </c>
      <c r="R46" s="33">
        <v>2250000</v>
      </c>
    </row>
    <row r="47" spans="2:18" ht="12.5">
      <c r="B47" s="89"/>
      <c r="C47" s="89"/>
      <c r="D47" s="89"/>
      <c r="G47" s="11"/>
      <c r="H47" s="11"/>
      <c r="J47" s="11"/>
      <c r="L47" s="11"/>
      <c r="M47" s="11"/>
      <c r="P47" s="11"/>
      <c r="Q47" s="32" t="s">
        <v>102</v>
      </c>
      <c r="R47" s="96">
        <v>2397500</v>
      </c>
    </row>
    <row r="48" spans="2:18" ht="12.5">
      <c r="B48" s="56"/>
      <c r="C48" s="56"/>
      <c r="D48" s="55"/>
      <c r="E48" s="11"/>
      <c r="Q48" s="32" t="s">
        <v>103</v>
      </c>
      <c r="R48" s="96">
        <v>2545000</v>
      </c>
    </row>
    <row r="49" spans="2:18" ht="12.5">
      <c r="B49" s="56"/>
      <c r="C49" s="56"/>
      <c r="D49" s="11"/>
      <c r="E49" s="11"/>
      <c r="Q49" s="32" t="s">
        <v>104</v>
      </c>
      <c r="R49" s="96">
        <v>2692500</v>
      </c>
    </row>
    <row r="50" spans="2:18" ht="12.5">
      <c r="B50" s="56"/>
      <c r="C50" s="56"/>
      <c r="D50" s="11"/>
      <c r="E50" s="11"/>
      <c r="Q50" s="32" t="s">
        <v>105</v>
      </c>
      <c r="R50" s="96">
        <v>2840000</v>
      </c>
    </row>
    <row r="51" spans="2:18" ht="12.5">
      <c r="Q51" s="32" t="s">
        <v>106</v>
      </c>
      <c r="R51" s="96">
        <v>2987500</v>
      </c>
    </row>
    <row r="52" spans="2:18" ht="12.5">
      <c r="Q52" s="97" t="s">
        <v>107</v>
      </c>
      <c r="R52" s="98">
        <v>3135000</v>
      </c>
    </row>
  </sheetData>
  <mergeCells count="8">
    <mergeCell ref="B2:P2"/>
    <mergeCell ref="B3:B13"/>
    <mergeCell ref="L3:L5"/>
    <mergeCell ref="M3:P5"/>
    <mergeCell ref="C4:K4"/>
    <mergeCell ref="C5:K5"/>
    <mergeCell ref="C6:P6"/>
    <mergeCell ref="C7:P13"/>
  </mergeCells>
  <conditionalFormatting sqref="A1">
    <cfRule type="notContainsBlanks" dxfId="44" priority="8">
      <formula>LEN(TRIM(A1))&gt;0</formula>
    </cfRule>
  </conditionalFormatting>
  <conditionalFormatting sqref="B38:D42">
    <cfRule type="expression" dxfId="43" priority="5">
      <formula>$D38=TRUE</formula>
    </cfRule>
    <cfRule type="expression" dxfId="42" priority="6">
      <formula>$C38=TRUE</formula>
    </cfRule>
  </conditionalFormatting>
  <conditionalFormatting sqref="B17:E36">
    <cfRule type="expression" dxfId="41" priority="1">
      <formula>$E17=TRUE</formula>
    </cfRule>
    <cfRule type="expression" dxfId="40" priority="2">
      <formula>$D17=TRUE</formula>
    </cfRule>
  </conditionalFormatting>
  <conditionalFormatting sqref="G17:I29">
    <cfRule type="expression" dxfId="39" priority="3">
      <formula>$I17=TRUE</formula>
    </cfRule>
    <cfRule type="expression" dxfId="38" priority="4">
      <formula>$H17=TRUE</formula>
    </cfRule>
  </conditionalFormatting>
  <conditionalFormatting sqref="R16:R52">
    <cfRule type="cellIs" dxfId="37" priority="7" operator="lessThanOrEqual">
      <formula>$O$29</formula>
    </cfRule>
  </conditionalFormatting>
  <hyperlinks>
    <hyperlink ref="M3" r:id="rId1" xr:uid="{00000000-0004-0000-0000-000000000000}"/>
  </hyperlinks>
  <pageMargins left="0.7" right="0.7" top="0.75" bottom="0.75" header="0.3" footer="0.3"/>
  <legacy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O66"/>
  <sheetViews>
    <sheetView topLeftCell="H39" workbookViewId="0">
      <selection activeCell="M12" sqref="M12"/>
    </sheetView>
  </sheetViews>
  <sheetFormatPr defaultColWidth="12.6328125" defaultRowHeight="15.75" customHeight="1"/>
  <cols>
    <col min="1" max="1" width="0.36328125" customWidth="1"/>
    <col min="2" max="2" width="9.36328125" customWidth="1"/>
    <col min="3" max="3" width="8.36328125" customWidth="1"/>
    <col min="4" max="4" width="8.26953125" customWidth="1"/>
    <col min="5" max="5" width="10.54296875" customWidth="1"/>
    <col min="6" max="6" width="36.453125" customWidth="1"/>
    <col min="7" max="7" width="0.36328125" customWidth="1"/>
    <col min="8" max="8" width="13.36328125" customWidth="1"/>
    <col min="9" max="9" width="8.36328125" customWidth="1"/>
    <col min="10" max="10" width="8.26953125" customWidth="1"/>
    <col min="11" max="11" width="22" customWidth="1"/>
    <col min="12" max="12" width="0.36328125" customWidth="1"/>
    <col min="13" max="13" width="13.08984375" customWidth="1"/>
    <col min="16" max="16" width="0.7265625" customWidth="1"/>
  </cols>
  <sheetData>
    <row r="1" spans="2:15" ht="1.5" customHeight="1" thickBot="1">
      <c r="B1" s="99"/>
      <c r="C1" s="99"/>
      <c r="D1" s="99"/>
      <c r="E1" s="99"/>
      <c r="F1" s="99"/>
      <c r="G1" s="14"/>
      <c r="H1" s="99"/>
      <c r="I1" s="99"/>
      <c r="J1" s="99"/>
      <c r="K1" s="99"/>
    </row>
    <row r="2" spans="2:15" ht="26.5" thickBot="1">
      <c r="B2" s="100" t="s">
        <v>108</v>
      </c>
      <c r="C2" s="101" t="s">
        <v>86</v>
      </c>
      <c r="D2" s="101" t="s">
        <v>87</v>
      </c>
      <c r="E2" s="318" t="s">
        <v>109</v>
      </c>
      <c r="F2" s="102" t="s">
        <v>110</v>
      </c>
      <c r="G2" s="14"/>
      <c r="H2" s="20" t="s">
        <v>111</v>
      </c>
      <c r="I2" s="103" t="s">
        <v>86</v>
      </c>
      <c r="J2" s="103" t="s">
        <v>87</v>
      </c>
      <c r="K2" s="104" t="s">
        <v>110</v>
      </c>
      <c r="M2" s="105" t="s">
        <v>17</v>
      </c>
      <c r="N2" s="106" t="s">
        <v>18</v>
      </c>
      <c r="O2" s="107" t="s">
        <v>14</v>
      </c>
    </row>
    <row r="3" spans="2:15" ht="13" thickBot="1">
      <c r="B3" s="108" t="s">
        <v>112</v>
      </c>
      <c r="C3" s="109" t="b">
        <v>1</v>
      </c>
      <c r="D3" s="110" t="b">
        <v>1</v>
      </c>
      <c r="E3" s="319" t="b">
        <v>0</v>
      </c>
      <c r="F3" s="111" t="s">
        <v>113</v>
      </c>
      <c r="G3" s="14"/>
      <c r="H3" s="112" t="s">
        <v>114</v>
      </c>
      <c r="I3" s="89" t="b">
        <v>0</v>
      </c>
      <c r="J3" s="89" t="b">
        <v>0</v>
      </c>
      <c r="K3" s="113" t="s">
        <v>115</v>
      </c>
      <c r="M3" s="114" t="s">
        <v>108</v>
      </c>
      <c r="N3" s="4">
        <f>COUNTIF(C3:C66, "TRUE")</f>
        <v>62</v>
      </c>
      <c r="O3" s="5">
        <f>COUNTIF(D3:D66, "TRUE")</f>
        <v>60</v>
      </c>
    </row>
    <row r="4" spans="2:15" ht="13" thickBot="1">
      <c r="B4" s="32" t="s">
        <v>116</v>
      </c>
      <c r="C4" s="115" t="b">
        <v>0</v>
      </c>
      <c r="D4" s="115" t="b">
        <v>0</v>
      </c>
      <c r="E4" s="320" t="b">
        <v>0</v>
      </c>
      <c r="F4" s="116" t="s">
        <v>117</v>
      </c>
      <c r="G4" s="14"/>
      <c r="H4" s="112" t="s">
        <v>118</v>
      </c>
      <c r="I4" s="89" t="b">
        <v>0</v>
      </c>
      <c r="J4" s="89" t="b">
        <v>0</v>
      </c>
      <c r="K4" s="113" t="s">
        <v>115</v>
      </c>
      <c r="M4" s="10" t="s">
        <v>111</v>
      </c>
      <c r="N4">
        <f t="shared" ref="N4:O4" si="0">COUNTIF(I3:I51, "TRUE")</f>
        <v>17</v>
      </c>
      <c r="O4" s="12">
        <f t="shared" si="0"/>
        <v>13</v>
      </c>
    </row>
    <row r="5" spans="2:15" ht="13" thickBot="1">
      <c r="B5" s="32" t="s">
        <v>119</v>
      </c>
      <c r="C5" s="115" t="b">
        <v>1</v>
      </c>
      <c r="D5" s="115" t="b">
        <v>1</v>
      </c>
      <c r="E5" s="320" t="b">
        <v>0</v>
      </c>
      <c r="F5" s="117" t="s">
        <v>120</v>
      </c>
      <c r="G5" s="14"/>
      <c r="H5" s="32" t="s">
        <v>121</v>
      </c>
      <c r="I5" s="115" t="b">
        <v>0</v>
      </c>
      <c r="J5" s="115" t="b">
        <v>0</v>
      </c>
      <c r="K5" s="113" t="s">
        <v>115</v>
      </c>
      <c r="M5" s="10" t="s">
        <v>122</v>
      </c>
      <c r="N5">
        <f t="shared" ref="N5:O5" si="1">COUNTIF(I54, "TRUE")</f>
        <v>1</v>
      </c>
      <c r="O5" s="12">
        <f t="shared" si="1"/>
        <v>1</v>
      </c>
    </row>
    <row r="6" spans="2:15" ht="13" thickBot="1">
      <c r="B6" s="32" t="s">
        <v>123</v>
      </c>
      <c r="C6" s="115" t="b">
        <v>1</v>
      </c>
      <c r="D6" s="115" t="b">
        <v>1</v>
      </c>
      <c r="E6" s="320" t="b">
        <v>0</v>
      </c>
      <c r="F6" s="118" t="s">
        <v>124</v>
      </c>
      <c r="G6" s="14"/>
      <c r="H6" s="112" t="s">
        <v>125</v>
      </c>
      <c r="I6" s="89" t="b">
        <v>0</v>
      </c>
      <c r="J6" s="89" t="b">
        <v>0</v>
      </c>
      <c r="K6" s="113" t="s">
        <v>115</v>
      </c>
      <c r="M6" s="119" t="s">
        <v>55</v>
      </c>
      <c r="N6" s="120">
        <f t="shared" ref="N6:O6" si="2">SUM(N3:N5)</f>
        <v>80</v>
      </c>
      <c r="O6" s="121">
        <f t="shared" si="2"/>
        <v>74</v>
      </c>
    </row>
    <row r="7" spans="2:15" ht="13" thickBot="1">
      <c r="B7" s="32" t="s">
        <v>126</v>
      </c>
      <c r="C7" s="115" t="b">
        <v>1</v>
      </c>
      <c r="D7" s="115" t="b">
        <v>1</v>
      </c>
      <c r="E7" s="320" t="b">
        <v>0</v>
      </c>
      <c r="F7" s="122" t="s">
        <v>127</v>
      </c>
      <c r="G7" s="14"/>
      <c r="H7" s="112" t="s">
        <v>128</v>
      </c>
      <c r="I7" s="89" t="b">
        <v>0</v>
      </c>
      <c r="J7" s="89" t="b">
        <v>0</v>
      </c>
      <c r="K7" s="113" t="s">
        <v>115</v>
      </c>
      <c r="M7" s="123" t="s">
        <v>129</v>
      </c>
      <c r="N7" s="124"/>
      <c r="O7" s="125">
        <f>COUNTA(D3:D66,J3:J51,J54)</f>
        <v>114</v>
      </c>
    </row>
    <row r="8" spans="2:15" ht="13" thickBot="1">
      <c r="B8" s="32" t="s">
        <v>130</v>
      </c>
      <c r="C8" s="115" t="b">
        <v>1</v>
      </c>
      <c r="D8" s="115" t="b">
        <v>1</v>
      </c>
      <c r="E8" s="320" t="b">
        <v>0</v>
      </c>
      <c r="F8" s="116" t="s">
        <v>131</v>
      </c>
      <c r="G8" s="14"/>
      <c r="H8" s="112" t="s">
        <v>132</v>
      </c>
      <c r="I8" s="89" t="b">
        <v>0</v>
      </c>
      <c r="J8" s="89" t="b">
        <v>0</v>
      </c>
      <c r="K8" s="113" t="s">
        <v>115</v>
      </c>
    </row>
    <row r="9" spans="2:15" ht="13" thickBot="1">
      <c r="B9" s="32" t="s">
        <v>133</v>
      </c>
      <c r="C9" s="115" t="b">
        <v>1</v>
      </c>
      <c r="D9" s="115" t="b">
        <v>0</v>
      </c>
      <c r="E9" s="320" t="b">
        <v>0</v>
      </c>
      <c r="F9" s="122" t="s">
        <v>134</v>
      </c>
      <c r="G9" s="14"/>
      <c r="H9" s="112" t="s">
        <v>135</v>
      </c>
      <c r="I9" s="89" t="b">
        <v>0</v>
      </c>
      <c r="J9" s="89" t="b">
        <v>0</v>
      </c>
      <c r="K9" s="113" t="s">
        <v>115</v>
      </c>
    </row>
    <row r="10" spans="2:15" ht="13" thickBot="1">
      <c r="B10" s="32" t="s">
        <v>136</v>
      </c>
      <c r="C10" s="115" t="b">
        <v>1</v>
      </c>
      <c r="D10" s="115" t="b">
        <v>1</v>
      </c>
      <c r="E10" s="320" t="b">
        <v>0</v>
      </c>
      <c r="F10" s="116" t="s">
        <v>137</v>
      </c>
      <c r="G10" s="14"/>
      <c r="H10" s="112" t="s">
        <v>138</v>
      </c>
      <c r="I10" s="89" t="b">
        <v>0</v>
      </c>
      <c r="J10" s="89" t="b">
        <v>0</v>
      </c>
      <c r="K10" s="113" t="s">
        <v>115</v>
      </c>
    </row>
    <row r="11" spans="2:15" ht="13" thickBot="1">
      <c r="B11" s="32" t="s">
        <v>139</v>
      </c>
      <c r="C11" s="115" t="b">
        <v>1</v>
      </c>
      <c r="D11" s="115" t="b">
        <v>1</v>
      </c>
      <c r="E11" s="320" t="b">
        <v>0</v>
      </c>
      <c r="F11" s="117" t="s">
        <v>140</v>
      </c>
      <c r="G11" s="14"/>
      <c r="H11" s="112" t="s">
        <v>141</v>
      </c>
      <c r="I11" s="89" t="b">
        <v>0</v>
      </c>
      <c r="J11" s="89" t="b">
        <v>0</v>
      </c>
      <c r="K11" s="113" t="s">
        <v>115</v>
      </c>
    </row>
    <row r="12" spans="2:15" ht="13" thickBot="1">
      <c r="B12" s="32" t="s">
        <v>142</v>
      </c>
      <c r="C12" s="115" t="b">
        <v>1</v>
      </c>
      <c r="D12" s="115" t="b">
        <v>1</v>
      </c>
      <c r="E12" s="320" t="b">
        <v>0</v>
      </c>
      <c r="F12" s="126" t="s">
        <v>143</v>
      </c>
      <c r="G12" s="14"/>
      <c r="H12" s="32" t="s">
        <v>144</v>
      </c>
      <c r="I12" s="115" t="b">
        <v>0</v>
      </c>
      <c r="J12" s="115" t="b">
        <v>0</v>
      </c>
      <c r="K12" s="113" t="s">
        <v>115</v>
      </c>
    </row>
    <row r="13" spans="2:15" ht="13" thickBot="1">
      <c r="B13" s="32" t="s">
        <v>145</v>
      </c>
      <c r="C13" s="115" t="b">
        <v>1</v>
      </c>
      <c r="D13" s="115" t="b">
        <v>1</v>
      </c>
      <c r="E13" s="320" t="b">
        <v>0</v>
      </c>
      <c r="F13" s="127" t="s">
        <v>146</v>
      </c>
      <c r="G13" s="14"/>
      <c r="H13" s="32" t="s">
        <v>147</v>
      </c>
      <c r="I13" s="115" t="b">
        <v>0</v>
      </c>
      <c r="J13" s="115" t="b">
        <v>0</v>
      </c>
      <c r="K13" s="113" t="s">
        <v>115</v>
      </c>
    </row>
    <row r="14" spans="2:15" ht="13" thickBot="1">
      <c r="B14" s="32" t="s">
        <v>148</v>
      </c>
      <c r="C14" s="115" t="b">
        <v>1</v>
      </c>
      <c r="D14" s="115" t="b">
        <v>1</v>
      </c>
      <c r="E14" s="320" t="b">
        <v>0</v>
      </c>
      <c r="F14" s="127" t="s">
        <v>149</v>
      </c>
      <c r="G14" s="14"/>
      <c r="H14" s="32" t="s">
        <v>150</v>
      </c>
      <c r="I14" s="115" t="b">
        <v>1</v>
      </c>
      <c r="J14" s="115" t="b">
        <v>1</v>
      </c>
      <c r="K14" s="113" t="s">
        <v>115</v>
      </c>
    </row>
    <row r="15" spans="2:15" ht="13" thickBot="1">
      <c r="B15" s="32" t="s">
        <v>151</v>
      </c>
      <c r="C15" s="115" t="b">
        <v>1</v>
      </c>
      <c r="D15" s="115" t="b">
        <v>1</v>
      </c>
      <c r="E15" s="320" t="b">
        <v>0</v>
      </c>
      <c r="F15" s="127" t="s">
        <v>152</v>
      </c>
      <c r="G15" s="14"/>
      <c r="H15" s="32" t="s">
        <v>153</v>
      </c>
      <c r="I15" s="115" t="b">
        <v>1</v>
      </c>
      <c r="J15" s="115" t="b">
        <v>0</v>
      </c>
      <c r="K15" s="113" t="s">
        <v>115</v>
      </c>
    </row>
    <row r="16" spans="2:15" ht="13" thickBot="1">
      <c r="B16" s="32" t="s">
        <v>154</v>
      </c>
      <c r="C16" s="115" t="b">
        <v>1</v>
      </c>
      <c r="D16" s="115" t="b">
        <v>1</v>
      </c>
      <c r="E16" s="320" t="b">
        <v>0</v>
      </c>
      <c r="F16" s="126" t="s">
        <v>155</v>
      </c>
      <c r="G16" s="14"/>
      <c r="H16" s="32" t="s">
        <v>156</v>
      </c>
      <c r="I16" s="115" t="b">
        <v>1</v>
      </c>
      <c r="J16" s="115" t="b">
        <v>1</v>
      </c>
      <c r="K16" s="113" t="s">
        <v>115</v>
      </c>
    </row>
    <row r="17" spans="2:11" ht="13" thickBot="1">
      <c r="B17" s="32" t="s">
        <v>157</v>
      </c>
      <c r="C17" s="115" t="b">
        <v>1</v>
      </c>
      <c r="D17" s="115" t="b">
        <v>1</v>
      </c>
      <c r="E17" s="320" t="b">
        <v>0</v>
      </c>
      <c r="F17" s="128" t="s">
        <v>158</v>
      </c>
      <c r="G17" s="14"/>
      <c r="H17" s="32" t="s">
        <v>159</v>
      </c>
      <c r="I17" s="115" t="b">
        <v>1</v>
      </c>
      <c r="J17" s="115" t="b">
        <v>1</v>
      </c>
      <c r="K17" s="113" t="s">
        <v>115</v>
      </c>
    </row>
    <row r="18" spans="2:11" ht="13" thickBot="1">
      <c r="B18" s="32" t="s">
        <v>160</v>
      </c>
      <c r="C18" s="115" t="b">
        <v>1</v>
      </c>
      <c r="D18" s="115" t="b">
        <v>1</v>
      </c>
      <c r="E18" s="320" t="b">
        <v>0</v>
      </c>
      <c r="F18" s="116" t="s">
        <v>161</v>
      </c>
      <c r="G18" s="14"/>
      <c r="H18" s="32" t="s">
        <v>162</v>
      </c>
      <c r="I18" s="115" t="b">
        <v>0</v>
      </c>
      <c r="J18" s="115" t="b">
        <v>0</v>
      </c>
      <c r="K18" s="113" t="s">
        <v>115</v>
      </c>
    </row>
    <row r="19" spans="2:11" ht="13" thickBot="1">
      <c r="B19" s="32" t="s">
        <v>163</v>
      </c>
      <c r="C19" s="115" t="b">
        <v>1</v>
      </c>
      <c r="D19" s="115" t="b">
        <v>1</v>
      </c>
      <c r="E19" s="320" t="b">
        <v>0</v>
      </c>
      <c r="F19" s="116" t="s">
        <v>164</v>
      </c>
      <c r="G19" s="14"/>
      <c r="H19" s="32" t="s">
        <v>165</v>
      </c>
      <c r="I19" s="115" t="b">
        <v>0</v>
      </c>
      <c r="J19" s="115" t="b">
        <v>0</v>
      </c>
      <c r="K19" s="113" t="s">
        <v>115</v>
      </c>
    </row>
    <row r="20" spans="2:11" ht="13" thickBot="1">
      <c r="B20" s="32" t="s">
        <v>166</v>
      </c>
      <c r="C20" s="115" t="b">
        <v>1</v>
      </c>
      <c r="D20" s="115" t="b">
        <v>1</v>
      </c>
      <c r="E20" s="320" t="b">
        <v>0</v>
      </c>
      <c r="F20" s="126" t="s">
        <v>167</v>
      </c>
      <c r="G20" s="14"/>
      <c r="H20" s="112" t="s">
        <v>168</v>
      </c>
      <c r="I20" s="89" t="b">
        <v>0</v>
      </c>
      <c r="J20" s="89" t="b">
        <v>0</v>
      </c>
      <c r="K20" s="113" t="s">
        <v>115</v>
      </c>
    </row>
    <row r="21" spans="2:11" ht="13" thickBot="1">
      <c r="B21" s="32" t="s">
        <v>169</v>
      </c>
      <c r="C21" s="115" t="b">
        <v>1</v>
      </c>
      <c r="D21" s="115" t="b">
        <v>1</v>
      </c>
      <c r="E21" s="320" t="b">
        <v>0</v>
      </c>
      <c r="F21" s="126" t="s">
        <v>170</v>
      </c>
      <c r="G21" s="14"/>
      <c r="H21" s="32" t="s">
        <v>171</v>
      </c>
      <c r="I21" s="115" t="b">
        <v>0</v>
      </c>
      <c r="J21" s="115" t="b">
        <v>0</v>
      </c>
      <c r="K21" s="113" t="s">
        <v>115</v>
      </c>
    </row>
    <row r="22" spans="2:11" ht="13" thickBot="1">
      <c r="B22" s="32" t="s">
        <v>172</v>
      </c>
      <c r="C22" s="115" t="b">
        <v>1</v>
      </c>
      <c r="D22" s="115" t="b">
        <v>1</v>
      </c>
      <c r="E22" s="320" t="b">
        <v>0</v>
      </c>
      <c r="F22" s="122" t="s">
        <v>173</v>
      </c>
      <c r="G22" s="14"/>
      <c r="H22" s="112" t="s">
        <v>174</v>
      </c>
      <c r="I22" s="89" t="b">
        <v>0</v>
      </c>
      <c r="J22" s="89" t="b">
        <v>0</v>
      </c>
      <c r="K22" s="113" t="s">
        <v>115</v>
      </c>
    </row>
    <row r="23" spans="2:11" ht="13" thickBot="1">
      <c r="B23" s="32" t="s">
        <v>175</v>
      </c>
      <c r="C23" s="115" t="b">
        <v>1</v>
      </c>
      <c r="D23" s="115" t="b">
        <v>1</v>
      </c>
      <c r="E23" s="320" t="b">
        <v>0</v>
      </c>
      <c r="F23" s="116" t="s">
        <v>176</v>
      </c>
      <c r="G23" s="14"/>
      <c r="H23" s="112" t="s">
        <v>177</v>
      </c>
      <c r="I23" s="89" t="b">
        <v>1</v>
      </c>
      <c r="J23" s="89" t="b">
        <v>1</v>
      </c>
      <c r="K23" s="113" t="s">
        <v>115</v>
      </c>
    </row>
    <row r="24" spans="2:11" ht="13" thickBot="1">
      <c r="B24" s="32" t="s">
        <v>178</v>
      </c>
      <c r="C24" s="115" t="b">
        <v>1</v>
      </c>
      <c r="D24" s="115" t="b">
        <v>1</v>
      </c>
      <c r="E24" s="320" t="b">
        <v>0</v>
      </c>
      <c r="F24" s="129" t="s">
        <v>124</v>
      </c>
      <c r="G24" s="14"/>
      <c r="H24" s="112" t="s">
        <v>179</v>
      </c>
      <c r="I24" s="89" t="b">
        <v>0</v>
      </c>
      <c r="J24" s="89" t="b">
        <v>0</v>
      </c>
      <c r="K24" s="113" t="s">
        <v>115</v>
      </c>
    </row>
    <row r="25" spans="2:11" ht="13" thickBot="1">
      <c r="B25" s="32" t="s">
        <v>180</v>
      </c>
      <c r="C25" s="115" t="b">
        <v>1</v>
      </c>
      <c r="D25" s="115" t="b">
        <v>1</v>
      </c>
      <c r="E25" s="320" t="b">
        <v>0</v>
      </c>
      <c r="F25" s="127" t="s">
        <v>181</v>
      </c>
      <c r="G25" s="14"/>
      <c r="H25" s="112" t="s">
        <v>182</v>
      </c>
      <c r="I25" s="89" t="b">
        <v>1</v>
      </c>
      <c r="J25" s="89" t="b">
        <v>0</v>
      </c>
      <c r="K25" s="113" t="s">
        <v>115</v>
      </c>
    </row>
    <row r="26" spans="2:11" ht="13" thickBot="1">
      <c r="B26" s="32" t="s">
        <v>183</v>
      </c>
      <c r="C26" s="115" t="b">
        <v>1</v>
      </c>
      <c r="D26" s="115" t="b">
        <v>1</v>
      </c>
      <c r="E26" s="320" t="b">
        <v>0</v>
      </c>
      <c r="F26" s="116" t="s">
        <v>184</v>
      </c>
      <c r="G26" s="14"/>
      <c r="H26" s="112" t="s">
        <v>185</v>
      </c>
      <c r="I26" s="89" t="b">
        <v>0</v>
      </c>
      <c r="J26" s="89" t="b">
        <v>0</v>
      </c>
      <c r="K26" s="113" t="s">
        <v>115</v>
      </c>
    </row>
    <row r="27" spans="2:11" ht="13" thickBot="1">
      <c r="B27" s="32" t="s">
        <v>186</v>
      </c>
      <c r="C27" s="115" t="b">
        <v>1</v>
      </c>
      <c r="D27" s="115" t="b">
        <v>1</v>
      </c>
      <c r="E27" s="320" t="b">
        <v>0</v>
      </c>
      <c r="F27" s="126" t="s">
        <v>187</v>
      </c>
      <c r="G27" s="14"/>
      <c r="H27" s="112" t="s">
        <v>188</v>
      </c>
      <c r="I27" s="115" t="b">
        <v>1</v>
      </c>
      <c r="J27" s="115" t="b">
        <v>1</v>
      </c>
      <c r="K27" s="113" t="s">
        <v>115</v>
      </c>
    </row>
    <row r="28" spans="2:11" ht="13" thickBot="1">
      <c r="B28" s="112" t="s">
        <v>189</v>
      </c>
      <c r="C28" s="89" t="b">
        <v>1</v>
      </c>
      <c r="D28" s="89" t="b">
        <v>1</v>
      </c>
      <c r="E28" s="320" t="b">
        <v>0</v>
      </c>
      <c r="F28" s="116" t="s">
        <v>190</v>
      </c>
      <c r="G28" s="14"/>
      <c r="H28" s="112" t="s">
        <v>191</v>
      </c>
      <c r="I28" s="115" t="b">
        <v>0</v>
      </c>
      <c r="J28" s="115" t="b">
        <v>0</v>
      </c>
      <c r="K28" s="113" t="s">
        <v>115</v>
      </c>
    </row>
    <row r="29" spans="2:11" ht="13" thickBot="1">
      <c r="B29" s="112" t="s">
        <v>192</v>
      </c>
      <c r="C29" s="89" t="b">
        <v>1</v>
      </c>
      <c r="D29" s="89" t="b">
        <v>1</v>
      </c>
      <c r="E29" s="320" t="b">
        <v>0</v>
      </c>
      <c r="F29" s="130" t="s">
        <v>193</v>
      </c>
      <c r="G29" s="14"/>
      <c r="H29" s="32" t="s">
        <v>194</v>
      </c>
      <c r="I29" s="115" t="b">
        <v>1</v>
      </c>
      <c r="J29" s="115" t="b">
        <v>1</v>
      </c>
      <c r="K29" s="113" t="s">
        <v>115</v>
      </c>
    </row>
    <row r="30" spans="2:11" ht="13" thickBot="1">
      <c r="B30" s="32" t="s">
        <v>195</v>
      </c>
      <c r="C30" s="115" t="b">
        <v>1</v>
      </c>
      <c r="D30" s="115" t="b">
        <v>1</v>
      </c>
      <c r="E30" s="320" t="b">
        <v>0</v>
      </c>
      <c r="F30" s="130" t="s">
        <v>196</v>
      </c>
      <c r="G30" s="14"/>
      <c r="H30" s="112" t="s">
        <v>197</v>
      </c>
      <c r="I30" s="89" t="b">
        <v>0</v>
      </c>
      <c r="J30" s="89" t="b">
        <v>0</v>
      </c>
      <c r="K30" s="113" t="s">
        <v>115</v>
      </c>
    </row>
    <row r="31" spans="2:11" ht="13" thickBot="1">
      <c r="B31" s="32" t="s">
        <v>198</v>
      </c>
      <c r="C31" s="115" t="b">
        <v>1</v>
      </c>
      <c r="D31" s="115" t="b">
        <v>1</v>
      </c>
      <c r="E31" s="320" t="b">
        <v>0</v>
      </c>
      <c r="F31" s="131" t="s">
        <v>199</v>
      </c>
      <c r="G31" s="14"/>
      <c r="H31" s="112" t="s">
        <v>200</v>
      </c>
      <c r="I31" s="89" t="b">
        <v>0</v>
      </c>
      <c r="J31" s="89" t="b">
        <v>0</v>
      </c>
      <c r="K31" s="113" t="s">
        <v>115</v>
      </c>
    </row>
    <row r="32" spans="2:11" ht="13" thickBot="1">
      <c r="B32" s="32" t="s">
        <v>201</v>
      </c>
      <c r="C32" s="115" t="b">
        <v>1</v>
      </c>
      <c r="D32" s="115" t="b">
        <v>1</v>
      </c>
      <c r="E32" s="320" t="b">
        <v>0</v>
      </c>
      <c r="F32" s="118" t="s">
        <v>202</v>
      </c>
      <c r="G32" s="14"/>
      <c r="H32" s="112" t="s">
        <v>203</v>
      </c>
      <c r="I32" s="89" t="b">
        <v>1</v>
      </c>
      <c r="J32" s="89" t="b">
        <v>1</v>
      </c>
      <c r="K32" s="113" t="s">
        <v>115</v>
      </c>
    </row>
    <row r="33" spans="2:11" ht="13" thickBot="1">
      <c r="B33" s="32" t="s">
        <v>204</v>
      </c>
      <c r="C33" s="115" t="b">
        <v>1</v>
      </c>
      <c r="D33" s="115" t="b">
        <v>1</v>
      </c>
      <c r="E33" s="320" t="b">
        <v>0</v>
      </c>
      <c r="F33" s="116" t="s">
        <v>205</v>
      </c>
      <c r="G33" s="14"/>
      <c r="H33" s="112" t="s">
        <v>206</v>
      </c>
      <c r="I33" s="89" t="b">
        <v>0</v>
      </c>
      <c r="J33" s="89" t="b">
        <v>0</v>
      </c>
      <c r="K33" s="113" t="s">
        <v>207</v>
      </c>
    </row>
    <row r="34" spans="2:11" ht="13" thickBot="1">
      <c r="B34" s="32" t="s">
        <v>208</v>
      </c>
      <c r="C34" s="115" t="b">
        <v>1</v>
      </c>
      <c r="D34" s="115" t="b">
        <v>1</v>
      </c>
      <c r="E34" s="320" t="b">
        <v>0</v>
      </c>
      <c r="F34" s="127" t="s">
        <v>209</v>
      </c>
      <c r="G34" s="14"/>
      <c r="H34" s="32" t="s">
        <v>210</v>
      </c>
      <c r="I34" s="115" t="b">
        <v>1</v>
      </c>
      <c r="J34" s="115" t="b">
        <v>0</v>
      </c>
      <c r="K34" s="113" t="s">
        <v>115</v>
      </c>
    </row>
    <row r="35" spans="2:11" ht="13" thickBot="1">
      <c r="B35" s="32" t="s">
        <v>211</v>
      </c>
      <c r="C35" s="115" t="b">
        <v>1</v>
      </c>
      <c r="D35" s="115" t="b">
        <v>1</v>
      </c>
      <c r="E35" s="320" t="b">
        <v>0</v>
      </c>
      <c r="F35" s="127" t="s">
        <v>212</v>
      </c>
      <c r="G35" s="14"/>
      <c r="H35" s="112" t="s">
        <v>213</v>
      </c>
      <c r="I35" s="115" t="b">
        <v>0</v>
      </c>
      <c r="J35" s="115" t="b">
        <v>0</v>
      </c>
      <c r="K35" s="113" t="s">
        <v>115</v>
      </c>
    </row>
    <row r="36" spans="2:11" ht="13" thickBot="1">
      <c r="B36" s="32" t="s">
        <v>214</v>
      </c>
      <c r="C36" s="115" t="b">
        <v>1</v>
      </c>
      <c r="D36" s="115" t="b">
        <v>1</v>
      </c>
      <c r="E36" s="320" t="b">
        <v>0</v>
      </c>
      <c r="F36" s="116" t="s">
        <v>215</v>
      </c>
      <c r="G36" s="14"/>
      <c r="H36" s="112" t="s">
        <v>216</v>
      </c>
      <c r="I36" s="89" t="b">
        <v>1</v>
      </c>
      <c r="J36" s="89" t="b">
        <v>1</v>
      </c>
      <c r="K36" s="113" t="s">
        <v>115</v>
      </c>
    </row>
    <row r="37" spans="2:11" ht="13" thickBot="1">
      <c r="B37" s="32" t="s">
        <v>217</v>
      </c>
      <c r="C37" s="115" t="b">
        <v>1</v>
      </c>
      <c r="D37" s="115" t="b">
        <v>1</v>
      </c>
      <c r="E37" s="320" t="b">
        <v>0</v>
      </c>
      <c r="F37" s="116" t="s">
        <v>218</v>
      </c>
      <c r="G37" s="14"/>
      <c r="H37" s="112" t="s">
        <v>219</v>
      </c>
      <c r="I37" s="89" t="b">
        <v>1</v>
      </c>
      <c r="J37" s="89" t="b">
        <v>1</v>
      </c>
      <c r="K37" s="113" t="s">
        <v>115</v>
      </c>
    </row>
    <row r="38" spans="2:11" ht="13" thickBot="1">
      <c r="B38" s="32" t="s">
        <v>220</v>
      </c>
      <c r="C38" s="115" t="b">
        <v>1</v>
      </c>
      <c r="D38" s="115" t="b">
        <v>1</v>
      </c>
      <c r="E38" s="320" t="b">
        <v>0</v>
      </c>
      <c r="F38" s="127" t="s">
        <v>221</v>
      </c>
      <c r="G38" s="14"/>
      <c r="H38" s="112" t="s">
        <v>222</v>
      </c>
      <c r="I38" s="89" t="b">
        <v>0</v>
      </c>
      <c r="J38" s="89" t="b">
        <v>0</v>
      </c>
      <c r="K38" s="113" t="s">
        <v>115</v>
      </c>
    </row>
    <row r="39" spans="2:11" ht="13" thickBot="1">
      <c r="B39" s="32" t="s">
        <v>223</v>
      </c>
      <c r="C39" s="115" t="b">
        <v>1</v>
      </c>
      <c r="D39" s="115" t="b">
        <v>1</v>
      </c>
      <c r="E39" s="320" t="b">
        <v>0</v>
      </c>
      <c r="F39" s="132" t="s">
        <v>224</v>
      </c>
      <c r="G39" s="14"/>
      <c r="H39" s="112" t="s">
        <v>225</v>
      </c>
      <c r="I39" s="89" t="b">
        <v>0</v>
      </c>
      <c r="J39" s="89" t="b">
        <v>0</v>
      </c>
      <c r="K39" s="113" t="s">
        <v>115</v>
      </c>
    </row>
    <row r="40" spans="2:11" ht="13" thickBot="1">
      <c r="B40" s="32" t="s">
        <v>226</v>
      </c>
      <c r="C40" s="115" t="b">
        <v>1</v>
      </c>
      <c r="D40" s="115" t="b">
        <v>1</v>
      </c>
      <c r="E40" s="320" t="b">
        <v>0</v>
      </c>
      <c r="F40" s="116" t="s">
        <v>227</v>
      </c>
      <c r="G40" s="14"/>
      <c r="H40" s="112" t="s">
        <v>228</v>
      </c>
      <c r="I40" s="89" t="b">
        <v>1</v>
      </c>
      <c r="J40" s="89" t="b">
        <v>1</v>
      </c>
      <c r="K40" s="113" t="s">
        <v>115</v>
      </c>
    </row>
    <row r="41" spans="2:11" ht="13" thickBot="1">
      <c r="B41" s="32" t="s">
        <v>229</v>
      </c>
      <c r="C41" s="115" t="b">
        <v>1</v>
      </c>
      <c r="D41" s="115" t="b">
        <v>1</v>
      </c>
      <c r="E41" s="320" t="b">
        <v>0</v>
      </c>
      <c r="F41" s="122" t="s">
        <v>230</v>
      </c>
      <c r="G41" s="14"/>
      <c r="H41" s="112" t="s">
        <v>231</v>
      </c>
      <c r="I41" s="89" t="b">
        <v>0</v>
      </c>
      <c r="J41" s="89" t="b">
        <v>0</v>
      </c>
      <c r="K41" s="113" t="s">
        <v>115</v>
      </c>
    </row>
    <row r="42" spans="2:11" ht="13" thickBot="1">
      <c r="B42" s="32" t="s">
        <v>232</v>
      </c>
      <c r="C42" s="115" t="b">
        <v>1</v>
      </c>
      <c r="D42" s="115" t="b">
        <v>1</v>
      </c>
      <c r="E42" s="320" t="b">
        <v>0</v>
      </c>
      <c r="F42" s="127" t="s">
        <v>233</v>
      </c>
      <c r="G42" s="14"/>
      <c r="H42" s="112" t="s">
        <v>234</v>
      </c>
      <c r="I42" s="89" t="b">
        <v>1</v>
      </c>
      <c r="J42" s="89" t="b">
        <v>1</v>
      </c>
      <c r="K42" s="113" t="s">
        <v>115</v>
      </c>
    </row>
    <row r="43" spans="2:11" ht="13" thickBot="1">
      <c r="B43" s="32" t="s">
        <v>235</v>
      </c>
      <c r="C43" s="115" t="b">
        <v>1</v>
      </c>
      <c r="D43" s="115" t="b">
        <v>1</v>
      </c>
      <c r="E43" s="320" t="b">
        <v>0</v>
      </c>
      <c r="F43" s="127" t="s">
        <v>236</v>
      </c>
      <c r="G43" s="14"/>
      <c r="H43" s="32" t="s">
        <v>237</v>
      </c>
      <c r="I43" s="115" t="b">
        <v>0</v>
      </c>
      <c r="J43" s="115" t="b">
        <v>0</v>
      </c>
      <c r="K43" s="113" t="s">
        <v>207</v>
      </c>
    </row>
    <row r="44" spans="2:11" ht="13" thickBot="1">
      <c r="B44" s="32" t="s">
        <v>238</v>
      </c>
      <c r="C44" s="115" t="b">
        <v>1</v>
      </c>
      <c r="D44" s="115" t="b">
        <v>1</v>
      </c>
      <c r="E44" s="320" t="b">
        <v>0</v>
      </c>
      <c r="F44" s="126" t="s">
        <v>239</v>
      </c>
      <c r="G44" s="14"/>
      <c r="H44" s="112" t="s">
        <v>240</v>
      </c>
      <c r="I44" s="89" t="b">
        <v>0</v>
      </c>
      <c r="J44" s="89" t="b">
        <v>0</v>
      </c>
      <c r="K44" s="113" t="s">
        <v>115</v>
      </c>
    </row>
    <row r="45" spans="2:11" ht="13" thickBot="1">
      <c r="B45" s="32" t="s">
        <v>241</v>
      </c>
      <c r="C45" s="115" t="b">
        <v>0</v>
      </c>
      <c r="D45" s="115" t="b">
        <v>0</v>
      </c>
      <c r="E45" s="320" t="b">
        <v>0</v>
      </c>
      <c r="F45" s="116" t="s">
        <v>242</v>
      </c>
      <c r="G45" s="14"/>
      <c r="H45" s="112" t="s">
        <v>243</v>
      </c>
      <c r="I45" s="89" t="b">
        <v>1</v>
      </c>
      <c r="J45" s="89" t="b">
        <v>1</v>
      </c>
      <c r="K45" s="113" t="s">
        <v>244</v>
      </c>
    </row>
    <row r="46" spans="2:11" ht="13" thickBot="1">
      <c r="B46" s="32" t="s">
        <v>245</v>
      </c>
      <c r="C46" s="115" t="b">
        <v>1</v>
      </c>
      <c r="D46" s="115" t="b">
        <v>1</v>
      </c>
      <c r="E46" s="320" t="b">
        <v>0</v>
      </c>
      <c r="F46" s="126" t="s">
        <v>246</v>
      </c>
      <c r="G46" s="14"/>
      <c r="H46" s="112" t="s">
        <v>247</v>
      </c>
      <c r="I46" s="89" t="b">
        <v>0</v>
      </c>
      <c r="J46" s="89" t="b">
        <v>0</v>
      </c>
      <c r="K46" s="113" t="s">
        <v>115</v>
      </c>
    </row>
    <row r="47" spans="2:11" ht="13" thickBot="1">
      <c r="B47" s="32" t="s">
        <v>248</v>
      </c>
      <c r="C47" s="115" t="b">
        <v>1</v>
      </c>
      <c r="D47" s="115" t="b">
        <v>1</v>
      </c>
      <c r="E47" s="320" t="b">
        <v>0</v>
      </c>
      <c r="F47" s="116" t="s">
        <v>249</v>
      </c>
      <c r="G47" s="14"/>
      <c r="H47" s="112" t="s">
        <v>250</v>
      </c>
      <c r="I47" s="89" t="b">
        <v>0</v>
      </c>
      <c r="J47" s="89" t="b">
        <v>0</v>
      </c>
      <c r="K47" s="113" t="s">
        <v>115</v>
      </c>
    </row>
    <row r="48" spans="2:11" ht="13" thickBot="1">
      <c r="B48" s="10" t="s">
        <v>251</v>
      </c>
      <c r="C48" s="13" t="b">
        <v>1</v>
      </c>
      <c r="D48" s="13" t="b">
        <v>1</v>
      </c>
      <c r="E48" s="320" t="b">
        <v>0</v>
      </c>
      <c r="F48" s="116" t="s">
        <v>252</v>
      </c>
      <c r="G48" s="14"/>
      <c r="H48" s="112" t="s">
        <v>253</v>
      </c>
      <c r="I48" s="89" t="b">
        <v>1</v>
      </c>
      <c r="J48" s="89" t="b">
        <v>1</v>
      </c>
      <c r="K48" s="113" t="s">
        <v>115</v>
      </c>
    </row>
    <row r="49" spans="2:11" ht="13" thickBot="1">
      <c r="B49" s="10" t="s">
        <v>254</v>
      </c>
      <c r="C49" s="13" t="b">
        <v>1</v>
      </c>
      <c r="D49" s="13" t="b">
        <v>1</v>
      </c>
      <c r="E49" s="320" t="b">
        <v>0</v>
      </c>
      <c r="F49" s="116" t="s">
        <v>255</v>
      </c>
      <c r="G49" s="14"/>
      <c r="H49" s="112" t="s">
        <v>256</v>
      </c>
      <c r="I49" s="89" t="b">
        <v>0</v>
      </c>
      <c r="J49" s="89" t="b">
        <v>0</v>
      </c>
      <c r="K49" s="113" t="s">
        <v>115</v>
      </c>
    </row>
    <row r="50" spans="2:11" ht="13" thickBot="1">
      <c r="B50" s="32" t="s">
        <v>257</v>
      </c>
      <c r="C50" s="115" t="b">
        <v>1</v>
      </c>
      <c r="D50" s="115" t="b">
        <v>1</v>
      </c>
      <c r="E50" s="320" t="b">
        <v>0</v>
      </c>
      <c r="F50" s="127" t="s">
        <v>258</v>
      </c>
      <c r="G50" s="14"/>
      <c r="H50" s="112" t="s">
        <v>259</v>
      </c>
      <c r="I50" s="89" t="b">
        <v>0</v>
      </c>
      <c r="J50" s="89" t="b">
        <v>0</v>
      </c>
      <c r="K50" s="113" t="s">
        <v>115</v>
      </c>
    </row>
    <row r="51" spans="2:11" ht="13" thickBot="1">
      <c r="B51" s="32" t="s">
        <v>260</v>
      </c>
      <c r="C51" s="115" t="b">
        <v>1</v>
      </c>
      <c r="D51" s="115" t="b">
        <v>1</v>
      </c>
      <c r="E51" s="320" t="b">
        <v>0</v>
      </c>
      <c r="F51" s="127" t="s">
        <v>261</v>
      </c>
      <c r="G51" s="14"/>
      <c r="H51" s="133" t="s">
        <v>262</v>
      </c>
      <c r="I51" s="134" t="b">
        <v>1</v>
      </c>
      <c r="J51" s="134" t="b">
        <v>0</v>
      </c>
      <c r="K51" s="135" t="s">
        <v>115</v>
      </c>
    </row>
    <row r="52" spans="2:11" ht="13" thickBot="1">
      <c r="B52" s="32" t="s">
        <v>263</v>
      </c>
      <c r="C52" s="115" t="b">
        <v>1</v>
      </c>
      <c r="D52" s="115" t="b">
        <v>1</v>
      </c>
      <c r="E52" s="320" t="b">
        <v>0</v>
      </c>
      <c r="F52" s="116" t="s">
        <v>264</v>
      </c>
      <c r="G52" s="14"/>
      <c r="H52" s="14"/>
      <c r="I52" s="14"/>
      <c r="J52" s="14"/>
      <c r="K52" s="14"/>
    </row>
    <row r="53" spans="2:11" ht="13.5" thickBot="1">
      <c r="B53" s="32" t="s">
        <v>265</v>
      </c>
      <c r="C53" s="115" t="b">
        <v>1</v>
      </c>
      <c r="D53" s="115" t="b">
        <v>1</v>
      </c>
      <c r="E53" s="320" t="b">
        <v>0</v>
      </c>
      <c r="F53" s="136" t="s">
        <v>266</v>
      </c>
      <c r="G53" s="14"/>
      <c r="H53" s="20" t="s">
        <v>122</v>
      </c>
      <c r="I53" s="103" t="s">
        <v>86</v>
      </c>
      <c r="J53" s="103" t="s">
        <v>267</v>
      </c>
      <c r="K53" s="104" t="s">
        <v>110</v>
      </c>
    </row>
    <row r="54" spans="2:11" ht="13" thickBot="1">
      <c r="B54" s="32" t="s">
        <v>268</v>
      </c>
      <c r="C54" s="115" t="b">
        <v>1</v>
      </c>
      <c r="D54" s="115" t="b">
        <v>1</v>
      </c>
      <c r="E54" s="320" t="b">
        <v>0</v>
      </c>
      <c r="F54" s="126" t="s">
        <v>269</v>
      </c>
      <c r="G54" s="14"/>
      <c r="H54" s="137" t="s">
        <v>270</v>
      </c>
      <c r="I54" s="138" t="b">
        <v>1</v>
      </c>
      <c r="J54" s="138" t="b">
        <v>1</v>
      </c>
      <c r="K54" s="139" t="s">
        <v>271</v>
      </c>
    </row>
    <row r="55" spans="2:11" ht="13" thickBot="1">
      <c r="B55" s="32" t="s">
        <v>272</v>
      </c>
      <c r="C55" s="115" t="b">
        <v>1</v>
      </c>
      <c r="D55" s="115" t="b">
        <v>0</v>
      </c>
      <c r="E55" s="320" t="b">
        <v>0</v>
      </c>
      <c r="F55" s="116" t="s">
        <v>273</v>
      </c>
      <c r="G55" s="14"/>
      <c r="H55" s="14"/>
      <c r="I55" s="14"/>
      <c r="J55" s="14"/>
      <c r="K55" s="14"/>
    </row>
    <row r="56" spans="2:11" ht="13" thickBot="1">
      <c r="B56" s="32" t="s">
        <v>274</v>
      </c>
      <c r="C56" s="115" t="b">
        <v>1</v>
      </c>
      <c r="D56" s="115" t="b">
        <v>1</v>
      </c>
      <c r="E56" s="320" t="b">
        <v>0</v>
      </c>
      <c r="F56" s="127" t="s">
        <v>275</v>
      </c>
      <c r="G56" s="14"/>
      <c r="H56" s="14"/>
      <c r="I56" s="14"/>
      <c r="J56" s="14"/>
      <c r="K56" s="14"/>
    </row>
    <row r="57" spans="2:11" ht="13" thickBot="1">
      <c r="B57" s="32" t="s">
        <v>276</v>
      </c>
      <c r="C57" s="115" t="b">
        <v>1</v>
      </c>
      <c r="D57" s="115" t="b">
        <v>1</v>
      </c>
      <c r="E57" s="320" t="b">
        <v>0</v>
      </c>
      <c r="F57" s="116" t="s">
        <v>277</v>
      </c>
      <c r="G57" s="14"/>
      <c r="H57" s="14"/>
      <c r="I57" s="14"/>
      <c r="J57" s="14"/>
      <c r="K57" s="14"/>
    </row>
    <row r="58" spans="2:11" ht="13" thickBot="1">
      <c r="B58" s="32" t="s">
        <v>278</v>
      </c>
      <c r="C58" s="115" t="b">
        <v>1</v>
      </c>
      <c r="D58" s="115" t="b">
        <v>1</v>
      </c>
      <c r="E58" s="320" t="b">
        <v>0</v>
      </c>
      <c r="F58" s="127" t="s">
        <v>279</v>
      </c>
      <c r="G58" s="14"/>
      <c r="H58" s="14"/>
      <c r="I58" s="14"/>
      <c r="J58" s="14"/>
      <c r="K58" s="14"/>
    </row>
    <row r="59" spans="2:11" ht="13" thickBot="1">
      <c r="B59" s="32" t="s">
        <v>280</v>
      </c>
      <c r="C59" s="115" t="b">
        <v>1</v>
      </c>
      <c r="D59" s="115" t="b">
        <v>1</v>
      </c>
      <c r="E59" s="320" t="b">
        <v>0</v>
      </c>
      <c r="F59" s="126" t="s">
        <v>281</v>
      </c>
      <c r="G59" s="14"/>
    </row>
    <row r="60" spans="2:11" ht="13" thickBot="1">
      <c r="B60" s="32" t="s">
        <v>282</v>
      </c>
      <c r="C60" s="115" t="b">
        <v>1</v>
      </c>
      <c r="D60" s="115" t="b">
        <v>1</v>
      </c>
      <c r="E60" s="320" t="b">
        <v>0</v>
      </c>
      <c r="F60" s="132" t="s">
        <v>224</v>
      </c>
      <c r="G60" s="14"/>
    </row>
    <row r="61" spans="2:11" ht="13" thickBot="1">
      <c r="B61" s="32" t="s">
        <v>283</v>
      </c>
      <c r="C61" s="115" t="b">
        <v>1</v>
      </c>
      <c r="D61" s="115" t="b">
        <v>1</v>
      </c>
      <c r="E61" s="320" t="b">
        <v>0</v>
      </c>
      <c r="F61" s="122" t="s">
        <v>284</v>
      </c>
      <c r="G61" s="14"/>
    </row>
    <row r="62" spans="2:11" ht="13" thickBot="1">
      <c r="B62" s="32" t="s">
        <v>285</v>
      </c>
      <c r="C62" s="115" t="b">
        <v>1</v>
      </c>
      <c r="D62" s="115" t="b">
        <v>1</v>
      </c>
      <c r="E62" s="320" t="b">
        <v>0</v>
      </c>
      <c r="F62" s="131" t="s">
        <v>286</v>
      </c>
    </row>
    <row r="63" spans="2:11" ht="13" thickBot="1">
      <c r="B63" s="32" t="s">
        <v>287</v>
      </c>
      <c r="C63" s="115" t="b">
        <v>1</v>
      </c>
      <c r="D63" s="115" t="b">
        <v>1</v>
      </c>
      <c r="E63" s="320" t="b">
        <v>0</v>
      </c>
      <c r="F63" s="132" t="s">
        <v>224</v>
      </c>
    </row>
    <row r="64" spans="2:11" ht="13" thickBot="1">
      <c r="B64" s="32" t="s">
        <v>288</v>
      </c>
      <c r="C64" s="115" t="b">
        <v>1</v>
      </c>
      <c r="D64" s="115" t="b">
        <v>1</v>
      </c>
      <c r="E64" s="320" t="b">
        <v>0</v>
      </c>
      <c r="F64" s="116" t="s">
        <v>289</v>
      </c>
    </row>
    <row r="65" spans="2:6" ht="13" thickBot="1">
      <c r="B65" s="32" t="s">
        <v>290</v>
      </c>
      <c r="C65" s="115" t="b">
        <v>1</v>
      </c>
      <c r="D65" s="115" t="b">
        <v>1</v>
      </c>
      <c r="E65" s="320" t="b">
        <v>0</v>
      </c>
      <c r="F65" s="116" t="s">
        <v>291</v>
      </c>
    </row>
    <row r="66" spans="2:6" ht="13" thickBot="1">
      <c r="B66" s="97" t="s">
        <v>292</v>
      </c>
      <c r="C66" s="134" t="b">
        <v>1</v>
      </c>
      <c r="D66" s="134" t="b">
        <v>1</v>
      </c>
      <c r="E66" s="321" t="b">
        <v>0</v>
      </c>
      <c r="F66" s="140" t="s">
        <v>224</v>
      </c>
    </row>
  </sheetData>
  <conditionalFormatting sqref="B67:E69 B3:D66">
    <cfRule type="expression" dxfId="36" priority="1">
      <formula>$D3=TRUE</formula>
    </cfRule>
    <cfRule type="expression" dxfId="35" priority="2">
      <formula>$C3=TRUE</formula>
    </cfRule>
  </conditionalFormatting>
  <conditionalFormatting sqref="H3:J61">
    <cfRule type="expression" dxfId="33" priority="3">
      <formula>$J3=TRUE</formula>
    </cfRule>
    <cfRule type="expression" dxfId="32" priority="4">
      <formula>$I3=TRUE</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S110"/>
  <sheetViews>
    <sheetView tabSelected="1" workbookViewId="0">
      <pane ySplit="1" topLeftCell="A2" activePane="bottomLeft" state="frozen"/>
      <selection pane="bottomLeft" activeCell="H6" sqref="H6"/>
    </sheetView>
  </sheetViews>
  <sheetFormatPr defaultColWidth="12.6328125" defaultRowHeight="15.75" customHeight="1"/>
  <cols>
    <col min="1" max="1" width="0.7265625" customWidth="1"/>
    <col min="3" max="3" width="8.08984375" customWidth="1"/>
    <col min="4" max="4" width="8" customWidth="1"/>
    <col min="5" max="5" width="31.36328125" customWidth="1"/>
    <col min="6" max="6" width="0.7265625" customWidth="1"/>
    <col min="7" max="7" width="14.26953125" customWidth="1"/>
    <col min="8" max="8" width="8" customWidth="1"/>
    <col min="9" max="9" width="8.08984375" customWidth="1"/>
    <col min="10" max="10" width="31.36328125" customWidth="1"/>
    <col min="11" max="11" width="0.36328125" customWidth="1"/>
    <col min="12" max="12" width="14.453125" customWidth="1"/>
    <col min="13" max="13" width="8" customWidth="1"/>
    <col min="14" max="14" width="8.08984375" customWidth="1"/>
    <col min="15" max="15" width="31.36328125" customWidth="1"/>
    <col min="16" max="16" width="0.7265625" customWidth="1"/>
    <col min="17" max="17" width="16" customWidth="1"/>
    <col min="18" max="18" width="9.7265625" customWidth="1"/>
    <col min="20" max="20" width="0.7265625" customWidth="1"/>
  </cols>
  <sheetData>
    <row r="1" spans="2:19" ht="1.5" customHeight="1">
      <c r="B1" s="99"/>
      <c r="C1" s="99"/>
      <c r="D1" s="99"/>
      <c r="E1" s="99"/>
      <c r="F1" s="14"/>
      <c r="G1" s="99"/>
      <c r="H1" s="99"/>
      <c r="I1" s="99"/>
      <c r="J1" s="99"/>
      <c r="K1" s="14"/>
      <c r="L1" s="141"/>
      <c r="M1" s="99"/>
      <c r="N1" s="99"/>
      <c r="O1" s="99"/>
    </row>
    <row r="2" spans="2:19" ht="13">
      <c r="B2" s="100" t="s">
        <v>293</v>
      </c>
      <c r="C2" s="101" t="s">
        <v>86</v>
      </c>
      <c r="D2" s="101" t="s">
        <v>87</v>
      </c>
      <c r="E2" s="103" t="s">
        <v>110</v>
      </c>
      <c r="F2" s="143"/>
      <c r="G2" s="101" t="s">
        <v>294</v>
      </c>
      <c r="H2" s="101" t="s">
        <v>86</v>
      </c>
      <c r="I2" s="101" t="s">
        <v>87</v>
      </c>
      <c r="J2" s="101" t="s">
        <v>110</v>
      </c>
      <c r="K2" s="144"/>
      <c r="L2" s="142" t="s">
        <v>295</v>
      </c>
      <c r="M2" s="101" t="s">
        <v>86</v>
      </c>
      <c r="N2" s="101" t="s">
        <v>87</v>
      </c>
      <c r="O2" s="101" t="s">
        <v>110</v>
      </c>
      <c r="Q2" s="105" t="s">
        <v>17</v>
      </c>
      <c r="R2" s="106" t="s">
        <v>18</v>
      </c>
      <c r="S2" s="107" t="s">
        <v>14</v>
      </c>
    </row>
    <row r="3" spans="2:19" ht="12.5">
      <c r="B3" s="114" t="s">
        <v>296</v>
      </c>
      <c r="C3" s="4" t="b">
        <v>1</v>
      </c>
      <c r="D3" s="4" t="b">
        <v>1</v>
      </c>
      <c r="E3" s="145" t="s">
        <v>297</v>
      </c>
      <c r="F3" s="14"/>
      <c r="G3" s="146" t="s">
        <v>298</v>
      </c>
      <c r="H3" s="147" t="b">
        <v>1</v>
      </c>
      <c r="I3" s="147" t="b">
        <v>0</v>
      </c>
      <c r="J3" s="148" t="s">
        <v>299</v>
      </c>
      <c r="K3" s="14"/>
      <c r="L3" s="149" t="s">
        <v>300</v>
      </c>
      <c r="M3" s="147" t="b">
        <v>0</v>
      </c>
      <c r="N3" s="147" t="b">
        <v>0</v>
      </c>
      <c r="O3" s="150" t="s">
        <v>301</v>
      </c>
      <c r="Q3" s="114" t="s">
        <v>293</v>
      </c>
      <c r="R3" s="4">
        <f>COUNTIF(C3:C72, "TRUE")</f>
        <v>54</v>
      </c>
      <c r="S3" s="5">
        <f>COUNTIF(D3:D72, "TRUE")</f>
        <v>37</v>
      </c>
    </row>
    <row r="4" spans="2:19" ht="13">
      <c r="B4" s="149" t="s">
        <v>302</v>
      </c>
      <c r="C4" s="14" t="b">
        <v>1</v>
      </c>
      <c r="D4" s="14" t="b">
        <v>1</v>
      </c>
      <c r="E4" s="151" t="s">
        <v>303</v>
      </c>
      <c r="F4" s="14"/>
      <c r="G4" s="149" t="s">
        <v>304</v>
      </c>
      <c r="H4" s="14" t="b">
        <v>1</v>
      </c>
      <c r="I4" s="14" t="b">
        <v>0</v>
      </c>
      <c r="J4" s="152" t="s">
        <v>305</v>
      </c>
      <c r="K4" s="14"/>
      <c r="L4" s="149" t="s">
        <v>306</v>
      </c>
      <c r="M4" s="14" t="b">
        <v>1</v>
      </c>
      <c r="N4" s="14" t="b">
        <v>1</v>
      </c>
      <c r="O4" s="153" t="s">
        <v>307</v>
      </c>
      <c r="Q4" s="10" t="s">
        <v>294</v>
      </c>
      <c r="R4">
        <f>COUNTIF(H3:H23, "TRUE")</f>
        <v>18</v>
      </c>
      <c r="S4" s="12">
        <f>COUNTIF(I3:I23, "TRUE")</f>
        <v>8</v>
      </c>
    </row>
    <row r="5" spans="2:19" ht="12.5">
      <c r="B5" s="149" t="s">
        <v>308</v>
      </c>
      <c r="C5" s="14" t="b">
        <v>1</v>
      </c>
      <c r="D5" s="14" t="b">
        <v>1</v>
      </c>
      <c r="E5" s="151" t="s">
        <v>309</v>
      </c>
      <c r="F5" s="14"/>
      <c r="G5" s="149" t="s">
        <v>310</v>
      </c>
      <c r="H5" s="14" t="b">
        <v>1</v>
      </c>
      <c r="I5" s="14" t="b">
        <v>1</v>
      </c>
      <c r="J5" s="145" t="s">
        <v>311</v>
      </c>
      <c r="K5" s="14"/>
      <c r="L5" s="149" t="s">
        <v>312</v>
      </c>
      <c r="M5" s="14" t="b">
        <v>1</v>
      </c>
      <c r="N5" s="14" t="b">
        <v>0</v>
      </c>
      <c r="O5" s="154" t="s">
        <v>313</v>
      </c>
      <c r="Q5" s="10" t="s">
        <v>314</v>
      </c>
      <c r="R5">
        <f>COUNTIF(H26:H35, "TRUE")</f>
        <v>6</v>
      </c>
      <c r="S5" s="12">
        <f>COUNTIF(I26:I35, "TRUE")</f>
        <v>4</v>
      </c>
    </row>
    <row r="6" spans="2:19" ht="13">
      <c r="B6" s="149" t="s">
        <v>315</v>
      </c>
      <c r="C6" s="14" t="b">
        <v>1</v>
      </c>
      <c r="D6" s="14" t="b">
        <v>1</v>
      </c>
      <c r="E6" s="145" t="s">
        <v>316</v>
      </c>
      <c r="F6" s="14"/>
      <c r="G6" s="149" t="s">
        <v>317</v>
      </c>
      <c r="H6" s="14" t="b">
        <v>1</v>
      </c>
      <c r="I6" s="14" t="b">
        <v>0</v>
      </c>
      <c r="J6" s="155" t="s">
        <v>318</v>
      </c>
      <c r="K6" s="14"/>
      <c r="L6" s="149" t="s">
        <v>319</v>
      </c>
      <c r="M6" s="14" t="b">
        <v>1</v>
      </c>
      <c r="N6" s="14" t="b">
        <v>0</v>
      </c>
      <c r="O6" s="156" t="s">
        <v>320</v>
      </c>
      <c r="Q6" s="10" t="s">
        <v>321</v>
      </c>
      <c r="R6">
        <f>COUNTIF(H38:H52, "TRUE")</f>
        <v>13</v>
      </c>
      <c r="S6" s="12">
        <f>COUNTIF(I38:I52, "TRUE")</f>
        <v>10</v>
      </c>
    </row>
    <row r="7" spans="2:19" ht="12.5">
      <c r="B7" s="149" t="s">
        <v>322</v>
      </c>
      <c r="C7" s="14" t="b">
        <v>1</v>
      </c>
      <c r="D7" s="14" t="b">
        <v>0</v>
      </c>
      <c r="E7" s="157" t="s">
        <v>299</v>
      </c>
      <c r="F7" s="14"/>
      <c r="G7" s="149" t="s">
        <v>323</v>
      </c>
      <c r="H7" s="14" t="b">
        <v>1</v>
      </c>
      <c r="I7" s="14" t="b">
        <v>0</v>
      </c>
      <c r="J7" s="154" t="s">
        <v>299</v>
      </c>
      <c r="K7" s="14"/>
      <c r="L7" s="149" t="s">
        <v>324</v>
      </c>
      <c r="M7" s="14" t="b">
        <v>1</v>
      </c>
      <c r="N7" s="14" t="b">
        <v>1</v>
      </c>
      <c r="O7" s="152" t="s">
        <v>305</v>
      </c>
      <c r="Q7" s="10" t="s">
        <v>325</v>
      </c>
      <c r="R7">
        <f>COUNTIF(H56:H59, "TRUE")</f>
        <v>4</v>
      </c>
      <c r="S7" s="12">
        <f>COUNTIF(I56:I59, "TRUE")</f>
        <v>2</v>
      </c>
    </row>
    <row r="8" spans="2:19" ht="12.5">
      <c r="B8" s="149" t="s">
        <v>326</v>
      </c>
      <c r="C8" s="14" t="b">
        <v>1</v>
      </c>
      <c r="D8" s="14" t="b">
        <v>1</v>
      </c>
      <c r="E8" s="157" t="s">
        <v>313</v>
      </c>
      <c r="F8" s="14"/>
      <c r="G8" s="10" t="s">
        <v>327</v>
      </c>
      <c r="H8" s="14" t="b">
        <v>1</v>
      </c>
      <c r="I8" s="14" t="b">
        <v>0</v>
      </c>
      <c r="J8" s="158" t="s">
        <v>305</v>
      </c>
      <c r="K8" s="14"/>
      <c r="L8" s="10" t="s">
        <v>328</v>
      </c>
      <c r="M8" s="13" t="b">
        <v>0</v>
      </c>
      <c r="N8" s="13" t="b">
        <v>0</v>
      </c>
      <c r="O8" s="155" t="s">
        <v>329</v>
      </c>
      <c r="Q8" s="10" t="s">
        <v>295</v>
      </c>
      <c r="R8">
        <f>COUNTIF(M3:M13, "TRUE")</f>
        <v>8</v>
      </c>
      <c r="S8" s="12">
        <f>COUNTIF(N3:N13, "TRUE")</f>
        <v>3</v>
      </c>
    </row>
    <row r="9" spans="2:19" ht="13">
      <c r="B9" s="149" t="s">
        <v>330</v>
      </c>
      <c r="C9" s="14" t="b">
        <v>1</v>
      </c>
      <c r="D9" s="14" t="b">
        <v>1</v>
      </c>
      <c r="E9" s="155" t="s">
        <v>331</v>
      </c>
      <c r="F9" s="14"/>
      <c r="G9" s="149" t="s">
        <v>332</v>
      </c>
      <c r="H9" s="14" t="b">
        <v>1</v>
      </c>
      <c r="I9" s="14" t="b">
        <v>1</v>
      </c>
      <c r="J9" s="156" t="s">
        <v>333</v>
      </c>
      <c r="K9" s="14"/>
      <c r="L9" s="149" t="s">
        <v>334</v>
      </c>
      <c r="M9" s="14" t="b">
        <v>0</v>
      </c>
      <c r="N9" s="14" t="b">
        <v>0</v>
      </c>
      <c r="O9" s="159" t="s">
        <v>335</v>
      </c>
      <c r="Q9" s="10" t="s">
        <v>336</v>
      </c>
      <c r="R9">
        <f>COUNTIF(H62, "TRUE")</f>
        <v>1</v>
      </c>
      <c r="S9" s="12">
        <f>COUNTIF(I62, "TRUE")</f>
        <v>1</v>
      </c>
    </row>
    <row r="10" spans="2:19" ht="12.5">
      <c r="B10" s="149" t="s">
        <v>337</v>
      </c>
      <c r="C10" s="14" t="b">
        <v>1</v>
      </c>
      <c r="D10" s="14" t="b">
        <v>1</v>
      </c>
      <c r="E10" s="160" t="s">
        <v>338</v>
      </c>
      <c r="F10" s="14"/>
      <c r="G10" s="149" t="s">
        <v>339</v>
      </c>
      <c r="H10" s="14" t="b">
        <v>1</v>
      </c>
      <c r="I10" s="14" t="b">
        <v>1</v>
      </c>
      <c r="J10" s="152" t="s">
        <v>305</v>
      </c>
      <c r="K10" s="14"/>
      <c r="L10" s="10" t="s">
        <v>340</v>
      </c>
      <c r="M10" s="13" t="b">
        <v>1</v>
      </c>
      <c r="N10" s="13" t="b">
        <v>0</v>
      </c>
      <c r="O10" s="155" t="s">
        <v>341</v>
      </c>
      <c r="Q10" s="10" t="s">
        <v>111</v>
      </c>
      <c r="R10" s="13">
        <f>COUNTIF(M16:M48, "TRUE")</f>
        <v>7</v>
      </c>
      <c r="S10" s="12">
        <f>COUNTIF(N16:N48, "TRUE")</f>
        <v>6</v>
      </c>
    </row>
    <row r="11" spans="2:19" ht="12.5">
      <c r="B11" s="10" t="s">
        <v>342</v>
      </c>
      <c r="C11" s="14" t="b">
        <v>1</v>
      </c>
      <c r="D11" s="14" t="b">
        <v>0</v>
      </c>
      <c r="E11" s="161" t="s">
        <v>299</v>
      </c>
      <c r="F11" s="14"/>
      <c r="G11" s="149" t="s">
        <v>343</v>
      </c>
      <c r="H11" s="14" t="b">
        <v>1</v>
      </c>
      <c r="I11" s="14" t="b">
        <v>1</v>
      </c>
      <c r="J11" s="159" t="s">
        <v>344</v>
      </c>
      <c r="K11" s="14"/>
      <c r="L11" s="149" t="s">
        <v>345</v>
      </c>
      <c r="M11" s="14" t="b">
        <v>1</v>
      </c>
      <c r="N11" s="14" t="b">
        <v>0</v>
      </c>
      <c r="O11" s="152" t="s">
        <v>305</v>
      </c>
      <c r="Q11" s="10" t="s">
        <v>346</v>
      </c>
      <c r="R11">
        <f>COUNTIF(M51:M53, "TRUE")</f>
        <v>3</v>
      </c>
      <c r="S11" s="12">
        <f>COUNTIF(N51:N53, "TRUE")</f>
        <v>3</v>
      </c>
    </row>
    <row r="12" spans="2:19" ht="12.5">
      <c r="B12" s="10" t="s">
        <v>347</v>
      </c>
      <c r="C12" s="14" t="b">
        <v>1</v>
      </c>
      <c r="D12" s="14" t="b">
        <v>1</v>
      </c>
      <c r="E12" s="161" t="s">
        <v>348</v>
      </c>
      <c r="F12" s="14"/>
      <c r="G12" s="149" t="s">
        <v>349</v>
      </c>
      <c r="H12" s="14" t="b">
        <v>1</v>
      </c>
      <c r="I12" s="14" t="b">
        <v>1</v>
      </c>
      <c r="J12" s="152" t="s">
        <v>305</v>
      </c>
      <c r="K12" s="14"/>
      <c r="L12" s="149" t="s">
        <v>350</v>
      </c>
      <c r="M12" s="14" t="b">
        <v>1</v>
      </c>
      <c r="N12" s="14" t="b">
        <v>1</v>
      </c>
      <c r="O12" s="154" t="s">
        <v>351</v>
      </c>
      <c r="Q12" s="10" t="s">
        <v>352</v>
      </c>
      <c r="R12">
        <f>COUNTIF(M57:M80, "TRUE")</f>
        <v>1</v>
      </c>
      <c r="S12" s="12">
        <f>SUM(COUNTIF(N57, "TRUE"),COUNTIF(N59, "TRUE"),COUNTIF(N61, "TRUE"),COUNTIF(N63, "TRUE"),COUNTIF(N65, "TRUE"),COUNTIF(N67, "TRUE"),COUNTIF(N69, "TRUE"),COUNTIF(N71, "TRUE"),COUNTIF(N73, "TRUE"),COUNTIF(N75, "TRUE"), COUNTIF(N77, "TRUE"), COUNTIF(N79, "TRUE"))</f>
        <v>1</v>
      </c>
    </row>
    <row r="13" spans="2:19" ht="13">
      <c r="B13" s="149" t="s">
        <v>353</v>
      </c>
      <c r="C13" s="14" t="b">
        <v>1</v>
      </c>
      <c r="D13" s="14" t="b">
        <v>1</v>
      </c>
      <c r="E13" s="156" t="s">
        <v>354</v>
      </c>
      <c r="F13" s="14"/>
      <c r="G13" s="149" t="s">
        <v>355</v>
      </c>
      <c r="H13" s="14" t="b">
        <v>1</v>
      </c>
      <c r="I13" s="14" t="b">
        <v>1</v>
      </c>
      <c r="J13" s="152" t="s">
        <v>305</v>
      </c>
      <c r="K13" s="14"/>
      <c r="L13" s="162" t="s">
        <v>356</v>
      </c>
      <c r="M13" s="163" t="b">
        <v>1</v>
      </c>
      <c r="N13" s="163" t="b">
        <v>0</v>
      </c>
      <c r="O13" s="164" t="s">
        <v>357</v>
      </c>
      <c r="Q13" s="112" t="s">
        <v>358</v>
      </c>
      <c r="R13" s="89">
        <f>COUNTIF(M83:M96, "TRUE")</f>
        <v>3</v>
      </c>
      <c r="S13" s="165">
        <f>SUM(COUNTIF(N83, "TRUE"),COUNTIF(N85, "TRUE"),COUNTIF(N87, "TRUE"),COUNTIF(N89, "TRUE"),COUNTIF(N91, "TRUE"),COUNTIF(N93, "TRUE"),COUNTIF(N95, "TRUE"))</f>
        <v>3</v>
      </c>
    </row>
    <row r="14" spans="2:19" ht="12.5">
      <c r="B14" s="149" t="s">
        <v>359</v>
      </c>
      <c r="C14" s="14" t="b">
        <v>1</v>
      </c>
      <c r="D14" s="14" t="b">
        <v>1</v>
      </c>
      <c r="E14" s="152" t="s">
        <v>305</v>
      </c>
      <c r="F14" s="14"/>
      <c r="G14" s="149" t="s">
        <v>360</v>
      </c>
      <c r="H14" s="14" t="b">
        <v>1</v>
      </c>
      <c r="I14" s="14" t="b">
        <v>0</v>
      </c>
      <c r="J14" s="154" t="s">
        <v>351</v>
      </c>
      <c r="K14" s="14"/>
      <c r="L14" s="14"/>
      <c r="M14" s="14"/>
      <c r="N14" s="14"/>
      <c r="O14" s="14"/>
      <c r="Q14" s="133" t="s">
        <v>361</v>
      </c>
      <c r="R14" s="166">
        <f>COUNTIF(H65:H74, "TRUE")</f>
        <v>3</v>
      </c>
      <c r="S14" s="167">
        <f>SUM(COUNTIF(I65, "TRUE"),COUNTIF(I67, "TRUE"),COUNTIF(I69, "TRUE"),COUNTIF(I71, "TRUE"),COUNTIF(I73, "TRUE"))</f>
        <v>2</v>
      </c>
    </row>
    <row r="15" spans="2:19" ht="13">
      <c r="B15" s="10" t="s">
        <v>362</v>
      </c>
      <c r="C15" s="13" t="b">
        <v>0</v>
      </c>
      <c r="D15" s="13" t="b">
        <v>0</v>
      </c>
      <c r="E15" s="168" t="s">
        <v>363</v>
      </c>
      <c r="F15" s="14"/>
      <c r="G15" s="10" t="s">
        <v>364</v>
      </c>
      <c r="H15" s="13" t="b">
        <v>1</v>
      </c>
      <c r="I15" s="13" t="b">
        <v>0</v>
      </c>
      <c r="J15" s="152" t="s">
        <v>305</v>
      </c>
      <c r="K15" s="14"/>
      <c r="L15" s="20" t="s">
        <v>111</v>
      </c>
      <c r="M15" s="103" t="s">
        <v>86</v>
      </c>
      <c r="N15" s="103" t="s">
        <v>87</v>
      </c>
      <c r="O15" s="104" t="s">
        <v>110</v>
      </c>
      <c r="Q15" s="169" t="s">
        <v>55</v>
      </c>
      <c r="R15" s="3">
        <f t="shared" ref="R15:S15" si="0">SUM(R3:R14)</f>
        <v>121</v>
      </c>
      <c r="S15" s="170">
        <f t="shared" si="0"/>
        <v>80</v>
      </c>
    </row>
    <row r="16" spans="2:19" ht="12.5">
      <c r="B16" s="10" t="s">
        <v>365</v>
      </c>
      <c r="C16" s="13" t="b">
        <v>0</v>
      </c>
      <c r="D16" s="13" t="b">
        <v>0</v>
      </c>
      <c r="E16" s="154" t="s">
        <v>351</v>
      </c>
      <c r="F16" s="14"/>
      <c r="G16" s="10" t="s">
        <v>366</v>
      </c>
      <c r="H16" s="13" t="b">
        <v>0</v>
      </c>
      <c r="I16" s="13" t="b">
        <v>0</v>
      </c>
      <c r="J16" s="155" t="s">
        <v>367</v>
      </c>
      <c r="K16" s="14"/>
      <c r="L16" s="149" t="s">
        <v>368</v>
      </c>
      <c r="M16" s="14" t="b">
        <v>1</v>
      </c>
      <c r="N16" s="14" t="b">
        <v>1</v>
      </c>
      <c r="O16" s="171" t="s">
        <v>115</v>
      </c>
      <c r="Q16" s="123" t="s">
        <v>369</v>
      </c>
      <c r="R16" s="124"/>
      <c r="S16" s="125">
        <f>COUNTA(D3:D72,I3:I23,I26:I35,I38:I52,I56:I59,N3:N13,N16:N48,N51:N53,N57,N59,N61,N63,N65,N67,N69,N71,N73,N75,N77,N79,N83,N85,N87,N89,N91,N93,N95,I65,I67,I69,I71,I62,I73)</f>
        <v>192</v>
      </c>
    </row>
    <row r="17" spans="2:19" ht="12.5">
      <c r="B17" s="149" t="s">
        <v>370</v>
      </c>
      <c r="C17" s="14" t="b">
        <v>1</v>
      </c>
      <c r="D17" s="14" t="b">
        <v>1</v>
      </c>
      <c r="E17" s="152" t="s">
        <v>305</v>
      </c>
      <c r="F17" s="14"/>
      <c r="G17" s="10" t="s">
        <v>371</v>
      </c>
      <c r="H17" s="13" t="b">
        <v>0</v>
      </c>
      <c r="I17" s="13" t="b">
        <v>0</v>
      </c>
      <c r="J17" s="155" t="s">
        <v>372</v>
      </c>
      <c r="K17" s="14"/>
      <c r="L17" s="149" t="s">
        <v>373</v>
      </c>
      <c r="M17" s="14" t="b">
        <v>1</v>
      </c>
      <c r="N17" s="14" t="b">
        <v>1</v>
      </c>
      <c r="O17" s="171" t="s">
        <v>115</v>
      </c>
      <c r="Q17" s="123" t="s">
        <v>374</v>
      </c>
      <c r="R17" s="124"/>
      <c r="S17" s="125">
        <f>SUM(COUNTIF(N84, "TRUE"),COUNTIF(N86, "TRUE"),COUNTIF(N88, "TRUE"),COUNTIF(N90, "TRUE"),COUNTIF(N92, "TRUE"),COUNTIF(N94, "TRUE"),COUNTIF(N96, "TRUE"))+SUM(COUNTIF(N58, "TRUE"),COUNTIF(N60, "TRUE"),COUNTIF(N62, "TRUE"),COUNTIF(N64, "TRUE"),COUNTIF(N66, "TRUE"),COUNTIF(N68, "TRUE"),COUNTIF(N70, "TRUE"),COUNTIF(N72, "TRUE"),COUNTIF(N74, "TRUE"),COUNTIF(N76, "TRUE"), COUNTIF(N78, "TRUE"), COUNTIF(N80, "TRUE"), COUNTIF(I66, "TRUE"), COUNTIF(I68, "TRUE"), COUNTIF(I70, "TRUE"), COUNTIF(I72, "TRUE"), COUNTIF(I74, "TRUE"))</f>
        <v>6</v>
      </c>
    </row>
    <row r="18" spans="2:19" ht="12.5">
      <c r="B18" s="149" t="s">
        <v>375</v>
      </c>
      <c r="C18" s="14" t="b">
        <v>1</v>
      </c>
      <c r="D18" s="14" t="b">
        <v>1</v>
      </c>
      <c r="E18" s="154" t="s">
        <v>313</v>
      </c>
      <c r="F18" s="14"/>
      <c r="G18" s="149" t="s">
        <v>376</v>
      </c>
      <c r="H18" s="14" t="b">
        <v>1</v>
      </c>
      <c r="I18" s="14" t="b">
        <v>0</v>
      </c>
      <c r="J18" s="152" t="s">
        <v>305</v>
      </c>
      <c r="K18" s="14"/>
      <c r="L18" s="149" t="s">
        <v>377</v>
      </c>
      <c r="M18" s="14" t="b">
        <v>0</v>
      </c>
      <c r="N18" s="14" t="b">
        <v>0</v>
      </c>
      <c r="O18" s="171" t="s">
        <v>115</v>
      </c>
      <c r="Q18" s="13" t="s">
        <v>378</v>
      </c>
      <c r="S18">
        <f>SUMPRODUCT((H65:H73=TRUE)*(I66:I74=FALSE)) + SUMPRODUCT((M57:M79=TRUE)*(N58:N80=FALSE)) + SUMPRODUCT((M83:M95=TRUE)*(N84:N96=FALSE))</f>
        <v>1</v>
      </c>
    </row>
    <row r="19" spans="2:19" ht="12.5">
      <c r="B19" s="149" t="s">
        <v>379</v>
      </c>
      <c r="C19" s="14" t="b">
        <v>1</v>
      </c>
      <c r="D19" s="14" t="b">
        <v>0</v>
      </c>
      <c r="E19" s="154" t="s">
        <v>299</v>
      </c>
      <c r="F19" s="14"/>
      <c r="G19" s="149" t="s">
        <v>380</v>
      </c>
      <c r="H19" s="14" t="b">
        <v>1</v>
      </c>
      <c r="I19" s="14" t="b">
        <v>0</v>
      </c>
      <c r="J19" s="151" t="s">
        <v>381</v>
      </c>
      <c r="K19" s="14"/>
      <c r="L19" s="149" t="s">
        <v>382</v>
      </c>
      <c r="M19" s="14" t="b">
        <v>0</v>
      </c>
      <c r="N19" s="14" t="b">
        <v>0</v>
      </c>
      <c r="O19" s="171" t="s">
        <v>115</v>
      </c>
    </row>
    <row r="20" spans="2:19" ht="12.5">
      <c r="B20" s="10" t="s">
        <v>383</v>
      </c>
      <c r="C20" s="13" t="b">
        <v>0</v>
      </c>
      <c r="D20" s="13" t="b">
        <v>0</v>
      </c>
      <c r="E20" s="168" t="s">
        <v>384</v>
      </c>
      <c r="F20" s="14"/>
      <c r="G20" s="149" t="s">
        <v>385</v>
      </c>
      <c r="H20" s="14" t="b">
        <v>1</v>
      </c>
      <c r="I20" s="14" t="b">
        <v>1</v>
      </c>
      <c r="J20" s="152" t="s">
        <v>305</v>
      </c>
      <c r="K20" s="14"/>
      <c r="L20" s="10" t="s">
        <v>386</v>
      </c>
      <c r="M20" s="13" t="b">
        <v>0</v>
      </c>
      <c r="N20" s="13" t="b">
        <v>0</v>
      </c>
      <c r="O20" s="171" t="s">
        <v>115</v>
      </c>
    </row>
    <row r="21" spans="2:19" ht="12.5">
      <c r="B21" s="10" t="s">
        <v>387</v>
      </c>
      <c r="C21" s="13" t="b">
        <v>1</v>
      </c>
      <c r="D21" s="13" t="b">
        <v>1</v>
      </c>
      <c r="E21" s="168" t="s">
        <v>388</v>
      </c>
      <c r="F21" s="14"/>
      <c r="G21" s="10" t="s">
        <v>389</v>
      </c>
      <c r="H21" s="13" t="b">
        <v>0</v>
      </c>
      <c r="I21" s="13" t="b">
        <v>0</v>
      </c>
      <c r="J21" s="168" t="s">
        <v>384</v>
      </c>
      <c r="K21" s="14"/>
      <c r="L21" s="10" t="s">
        <v>390</v>
      </c>
      <c r="M21" s="13" t="b">
        <v>0</v>
      </c>
      <c r="N21" s="13" t="b">
        <v>0</v>
      </c>
      <c r="O21" s="171" t="s">
        <v>115</v>
      </c>
    </row>
    <row r="22" spans="2:19" ht="12.5">
      <c r="B22" s="149" t="s">
        <v>391</v>
      </c>
      <c r="C22" s="14" t="b">
        <v>1</v>
      </c>
      <c r="D22" s="14" t="b">
        <v>0</v>
      </c>
      <c r="E22" s="155" t="s">
        <v>331</v>
      </c>
      <c r="F22" s="14"/>
      <c r="G22" s="149" t="s">
        <v>392</v>
      </c>
      <c r="H22" s="14" t="b">
        <v>1</v>
      </c>
      <c r="I22" s="14" t="b">
        <v>0</v>
      </c>
      <c r="J22" s="152" t="s">
        <v>305</v>
      </c>
      <c r="K22" s="14"/>
      <c r="L22" s="149" t="s">
        <v>393</v>
      </c>
      <c r="M22" s="14" t="b">
        <v>1</v>
      </c>
      <c r="N22" s="14" t="b">
        <v>1</v>
      </c>
      <c r="O22" s="171" t="s">
        <v>115</v>
      </c>
    </row>
    <row r="23" spans="2:19" ht="12.5">
      <c r="B23" s="149" t="s">
        <v>394</v>
      </c>
      <c r="C23" s="14" t="b">
        <v>1</v>
      </c>
      <c r="D23" s="14" t="b">
        <v>1</v>
      </c>
      <c r="E23" s="151" t="s">
        <v>155</v>
      </c>
      <c r="F23" s="14"/>
      <c r="G23" s="15" t="s">
        <v>395</v>
      </c>
      <c r="H23" s="16" t="b">
        <v>1</v>
      </c>
      <c r="I23" s="16" t="b">
        <v>1</v>
      </c>
      <c r="J23" s="172" t="s">
        <v>396</v>
      </c>
      <c r="K23" s="14"/>
      <c r="L23" s="149" t="s">
        <v>397</v>
      </c>
      <c r="M23" s="14" t="b">
        <v>1</v>
      </c>
      <c r="N23" s="14" t="b">
        <v>1</v>
      </c>
      <c r="O23" s="171" t="s">
        <v>115</v>
      </c>
    </row>
    <row r="24" spans="2:19" ht="12.5">
      <c r="B24" s="149" t="s">
        <v>398</v>
      </c>
      <c r="C24" s="14" t="b">
        <v>1</v>
      </c>
      <c r="D24" s="14" t="b">
        <v>0</v>
      </c>
      <c r="E24" s="154" t="s">
        <v>299</v>
      </c>
      <c r="F24" s="14"/>
      <c r="K24" s="14"/>
      <c r="L24" s="149" t="s">
        <v>399</v>
      </c>
      <c r="M24" s="14" t="b">
        <v>0</v>
      </c>
      <c r="N24" s="14" t="b">
        <v>0</v>
      </c>
      <c r="O24" s="113" t="s">
        <v>207</v>
      </c>
    </row>
    <row r="25" spans="2:19" ht="13">
      <c r="B25" s="149" t="s">
        <v>400</v>
      </c>
      <c r="C25" s="14" t="b">
        <v>1</v>
      </c>
      <c r="D25" s="14" t="b">
        <v>1</v>
      </c>
      <c r="E25" s="173" t="s">
        <v>305</v>
      </c>
      <c r="F25" s="14"/>
      <c r="G25" s="100" t="s">
        <v>314</v>
      </c>
      <c r="H25" s="101" t="s">
        <v>86</v>
      </c>
      <c r="I25" s="101" t="s">
        <v>87</v>
      </c>
      <c r="J25" s="101" t="s">
        <v>110</v>
      </c>
      <c r="K25" s="14"/>
      <c r="L25" s="149" t="s">
        <v>401</v>
      </c>
      <c r="M25" s="14" t="b">
        <v>1</v>
      </c>
      <c r="N25" s="14" t="b">
        <v>1</v>
      </c>
      <c r="O25" s="171" t="s">
        <v>115</v>
      </c>
    </row>
    <row r="26" spans="2:19" ht="12.5">
      <c r="B26" s="149" t="s">
        <v>402</v>
      </c>
      <c r="C26" s="14" t="b">
        <v>1</v>
      </c>
      <c r="D26" s="14" t="b">
        <v>0</v>
      </c>
      <c r="E26" s="154" t="s">
        <v>299</v>
      </c>
      <c r="F26" s="14"/>
      <c r="G26" s="146" t="s">
        <v>403</v>
      </c>
      <c r="H26" s="147" t="b">
        <v>1</v>
      </c>
      <c r="I26" s="147" t="b">
        <v>0</v>
      </c>
      <c r="J26" s="174" t="s">
        <v>299</v>
      </c>
      <c r="K26" s="14"/>
      <c r="L26" s="149" t="s">
        <v>404</v>
      </c>
      <c r="M26" s="14" t="b">
        <v>0</v>
      </c>
      <c r="N26" s="14" t="b">
        <v>0</v>
      </c>
      <c r="O26" s="171" t="s">
        <v>115</v>
      </c>
    </row>
    <row r="27" spans="2:19" ht="12.5">
      <c r="B27" s="149" t="s">
        <v>405</v>
      </c>
      <c r="C27" s="14" t="b">
        <v>1</v>
      </c>
      <c r="D27" s="14" t="b">
        <v>1</v>
      </c>
      <c r="E27" s="175" t="s">
        <v>406</v>
      </c>
      <c r="F27" s="14"/>
      <c r="G27" s="149" t="s">
        <v>407</v>
      </c>
      <c r="H27" s="14" t="b">
        <v>1</v>
      </c>
      <c r="I27" s="14" t="b">
        <v>0</v>
      </c>
      <c r="J27" s="154" t="s">
        <v>299</v>
      </c>
      <c r="K27" s="14"/>
      <c r="L27" s="10" t="s">
        <v>408</v>
      </c>
      <c r="M27" s="13" t="b">
        <v>0</v>
      </c>
      <c r="N27" s="13" t="b">
        <v>0</v>
      </c>
      <c r="O27" s="171" t="s">
        <v>115</v>
      </c>
    </row>
    <row r="28" spans="2:19" ht="12.5">
      <c r="B28" s="149" t="s">
        <v>409</v>
      </c>
      <c r="C28" s="14" t="b">
        <v>1</v>
      </c>
      <c r="D28" s="14" t="b">
        <v>1</v>
      </c>
      <c r="E28" s="145" t="s">
        <v>410</v>
      </c>
      <c r="F28" s="14"/>
      <c r="G28" s="149" t="s">
        <v>411</v>
      </c>
      <c r="H28" s="14" t="b">
        <v>1</v>
      </c>
      <c r="I28" s="14" t="b">
        <v>1</v>
      </c>
      <c r="J28" s="151" t="s">
        <v>412</v>
      </c>
      <c r="K28" s="14"/>
      <c r="L28" s="10" t="s">
        <v>413</v>
      </c>
      <c r="M28" s="13" t="b">
        <v>0</v>
      </c>
      <c r="N28" s="13" t="b">
        <v>0</v>
      </c>
      <c r="O28" s="171" t="s">
        <v>115</v>
      </c>
    </row>
    <row r="29" spans="2:19" ht="12.5">
      <c r="B29" s="10" t="s">
        <v>414</v>
      </c>
      <c r="C29" s="13" t="b">
        <v>0</v>
      </c>
      <c r="D29" s="13" t="b">
        <v>0</v>
      </c>
      <c r="E29" s="168" t="s">
        <v>415</v>
      </c>
      <c r="F29" s="14"/>
      <c r="G29" s="149" t="s">
        <v>416</v>
      </c>
      <c r="H29" s="14" t="b">
        <v>1</v>
      </c>
      <c r="I29" s="14" t="b">
        <v>1</v>
      </c>
      <c r="J29" s="152" t="s">
        <v>305</v>
      </c>
      <c r="K29" s="14"/>
      <c r="L29" s="10" t="s">
        <v>417</v>
      </c>
      <c r="M29" s="13" t="b">
        <v>1</v>
      </c>
      <c r="N29" s="13" t="b">
        <v>1</v>
      </c>
      <c r="O29" s="176" t="s">
        <v>406</v>
      </c>
    </row>
    <row r="30" spans="2:19" ht="13">
      <c r="B30" s="149" t="s">
        <v>418</v>
      </c>
      <c r="C30" s="14" t="b">
        <v>1</v>
      </c>
      <c r="D30" s="14" t="b">
        <v>1</v>
      </c>
      <c r="E30" s="156" t="s">
        <v>419</v>
      </c>
      <c r="F30" s="14"/>
      <c r="G30" s="10" t="s">
        <v>420</v>
      </c>
      <c r="H30" s="13" t="b">
        <v>0</v>
      </c>
      <c r="I30" s="13" t="b">
        <v>0</v>
      </c>
      <c r="J30" s="168" t="s">
        <v>421</v>
      </c>
      <c r="K30" s="14"/>
      <c r="L30" s="10" t="s">
        <v>422</v>
      </c>
      <c r="M30" s="13" t="b">
        <v>1</v>
      </c>
      <c r="N30" s="13" t="b">
        <v>0</v>
      </c>
      <c r="O30" s="171" t="s">
        <v>115</v>
      </c>
    </row>
    <row r="31" spans="2:19" ht="12.5">
      <c r="B31" s="149" t="s">
        <v>423</v>
      </c>
      <c r="C31" s="14" t="b">
        <v>1</v>
      </c>
      <c r="D31" s="14" t="b">
        <v>1</v>
      </c>
      <c r="E31" s="154" t="s">
        <v>313</v>
      </c>
      <c r="F31" s="14"/>
      <c r="G31" s="10" t="s">
        <v>424</v>
      </c>
      <c r="H31" s="13" t="b">
        <v>0</v>
      </c>
      <c r="I31" s="13" t="b">
        <v>0</v>
      </c>
      <c r="J31" s="168" t="s">
        <v>425</v>
      </c>
      <c r="K31" s="14"/>
      <c r="L31" s="149" t="s">
        <v>426</v>
      </c>
      <c r="M31" s="14" t="b">
        <v>0</v>
      </c>
      <c r="N31" s="14" t="b">
        <v>0</v>
      </c>
      <c r="O31" s="171" t="s">
        <v>115</v>
      </c>
    </row>
    <row r="32" spans="2:19" ht="12.5">
      <c r="B32" s="149" t="s">
        <v>427</v>
      </c>
      <c r="C32" s="14" t="b">
        <v>1</v>
      </c>
      <c r="D32" s="14" t="b">
        <v>1</v>
      </c>
      <c r="E32" s="152" t="s">
        <v>305</v>
      </c>
      <c r="F32" s="14"/>
      <c r="G32" s="149" t="s">
        <v>428</v>
      </c>
      <c r="H32" s="14" t="b">
        <v>0</v>
      </c>
      <c r="I32" s="14" t="b">
        <v>0</v>
      </c>
      <c r="J32" s="151" t="s">
        <v>429</v>
      </c>
      <c r="K32" s="14"/>
      <c r="L32" s="149" t="s">
        <v>430</v>
      </c>
      <c r="M32" s="14" t="b">
        <v>0</v>
      </c>
      <c r="N32" s="14" t="b">
        <v>0</v>
      </c>
      <c r="O32" s="171" t="s">
        <v>115</v>
      </c>
    </row>
    <row r="33" spans="2:15" ht="12.5">
      <c r="B33" s="149" t="s">
        <v>431</v>
      </c>
      <c r="C33" s="14" t="b">
        <v>0</v>
      </c>
      <c r="D33" s="14" t="b">
        <v>0</v>
      </c>
      <c r="E33" s="154" t="s">
        <v>351</v>
      </c>
      <c r="F33" s="14"/>
      <c r="G33" s="149" t="s">
        <v>432</v>
      </c>
      <c r="H33" s="14" t="b">
        <v>1</v>
      </c>
      <c r="I33" s="14" t="b">
        <v>1</v>
      </c>
      <c r="J33" s="152" t="s">
        <v>305</v>
      </c>
      <c r="K33" s="14"/>
      <c r="L33" s="149" t="s">
        <v>433</v>
      </c>
      <c r="M33" s="14" t="b">
        <v>0</v>
      </c>
      <c r="N33" s="14" t="b">
        <v>0</v>
      </c>
      <c r="O33" s="171" t="s">
        <v>115</v>
      </c>
    </row>
    <row r="34" spans="2:15" ht="12.5">
      <c r="B34" s="149" t="s">
        <v>434</v>
      </c>
      <c r="C34" s="14" t="b">
        <v>1</v>
      </c>
      <c r="D34" s="14" t="b">
        <v>1</v>
      </c>
      <c r="E34" s="168" t="s">
        <v>435</v>
      </c>
      <c r="F34" s="14"/>
      <c r="G34" s="149" t="s">
        <v>436</v>
      </c>
      <c r="H34" s="14" t="b">
        <v>1</v>
      </c>
      <c r="I34" s="14" t="b">
        <v>1</v>
      </c>
      <c r="J34" s="152" t="s">
        <v>305</v>
      </c>
      <c r="K34" s="14"/>
      <c r="L34" s="10" t="s">
        <v>437</v>
      </c>
      <c r="M34" s="13" t="b">
        <v>0</v>
      </c>
      <c r="N34" s="13" t="b">
        <v>0</v>
      </c>
      <c r="O34" s="171" t="s">
        <v>115</v>
      </c>
    </row>
    <row r="35" spans="2:15" ht="12.5">
      <c r="B35" s="149" t="s">
        <v>438</v>
      </c>
      <c r="C35" s="14" t="b">
        <v>1</v>
      </c>
      <c r="D35" s="14" t="b">
        <v>1</v>
      </c>
      <c r="E35" s="152" t="s">
        <v>305</v>
      </c>
      <c r="F35" s="14"/>
      <c r="G35" s="15" t="s">
        <v>439</v>
      </c>
      <c r="H35" s="16" t="b">
        <v>0</v>
      </c>
      <c r="I35" s="16" t="b">
        <v>0</v>
      </c>
      <c r="J35" s="177" t="s">
        <v>406</v>
      </c>
      <c r="K35" s="14"/>
      <c r="L35" s="10" t="s">
        <v>440</v>
      </c>
      <c r="M35" s="13" t="b">
        <v>0</v>
      </c>
      <c r="N35" s="13" t="b">
        <v>0</v>
      </c>
      <c r="O35" s="171" t="s">
        <v>115</v>
      </c>
    </row>
    <row r="36" spans="2:15" ht="12.5">
      <c r="B36" s="149" t="s">
        <v>441</v>
      </c>
      <c r="C36" s="14" t="b">
        <v>1</v>
      </c>
      <c r="D36" s="14" t="b">
        <v>1</v>
      </c>
      <c r="E36" s="154" t="s">
        <v>313</v>
      </c>
      <c r="F36" s="14"/>
      <c r="K36" s="14"/>
      <c r="L36" s="10" t="s">
        <v>442</v>
      </c>
      <c r="M36" s="13" t="b">
        <v>0</v>
      </c>
      <c r="N36" s="13" t="b">
        <v>0</v>
      </c>
      <c r="O36" s="171" t="s">
        <v>115</v>
      </c>
    </row>
    <row r="37" spans="2:15" ht="13">
      <c r="B37" s="149" t="s">
        <v>443</v>
      </c>
      <c r="C37" s="14" t="b">
        <v>1</v>
      </c>
      <c r="D37" s="14" t="b">
        <v>1</v>
      </c>
      <c r="E37" s="175" t="s">
        <v>406</v>
      </c>
      <c r="F37" s="14"/>
      <c r="G37" s="100" t="s">
        <v>321</v>
      </c>
      <c r="H37" s="101" t="s">
        <v>86</v>
      </c>
      <c r="I37" s="101" t="s">
        <v>87</v>
      </c>
      <c r="J37" s="101" t="s">
        <v>110</v>
      </c>
      <c r="K37" s="14"/>
      <c r="L37" s="10" t="s">
        <v>444</v>
      </c>
      <c r="M37" s="13" t="b">
        <v>0</v>
      </c>
      <c r="N37" s="13" t="b">
        <v>0</v>
      </c>
      <c r="O37" s="171" t="s">
        <v>115</v>
      </c>
    </row>
    <row r="38" spans="2:15" ht="12.5">
      <c r="B38" s="149" t="s">
        <v>445</v>
      </c>
      <c r="C38" s="14" t="b">
        <v>1</v>
      </c>
      <c r="D38" s="14" t="b">
        <v>0</v>
      </c>
      <c r="E38" s="152" t="s">
        <v>305</v>
      </c>
      <c r="F38" s="14"/>
      <c r="G38" s="146" t="s">
        <v>446</v>
      </c>
      <c r="H38" s="147" t="b">
        <v>1</v>
      </c>
      <c r="I38" s="147" t="b">
        <v>1</v>
      </c>
      <c r="J38" s="148" t="s">
        <v>348</v>
      </c>
      <c r="K38" s="14"/>
      <c r="L38" s="10" t="s">
        <v>447</v>
      </c>
      <c r="M38" s="13" t="b">
        <v>0</v>
      </c>
      <c r="N38" s="13" t="b">
        <v>0</v>
      </c>
      <c r="O38" s="171" t="s">
        <v>115</v>
      </c>
    </row>
    <row r="39" spans="2:15" ht="13">
      <c r="B39" s="10" t="s">
        <v>448</v>
      </c>
      <c r="C39" s="13" t="b">
        <v>0</v>
      </c>
      <c r="D39" s="13" t="b">
        <v>0</v>
      </c>
      <c r="E39" s="168" t="s">
        <v>384</v>
      </c>
      <c r="F39" s="14"/>
      <c r="G39" s="149" t="s">
        <v>449</v>
      </c>
      <c r="H39" s="14" t="b">
        <v>1</v>
      </c>
      <c r="I39" s="14" t="b">
        <v>1</v>
      </c>
      <c r="J39" s="156" t="s">
        <v>450</v>
      </c>
      <c r="K39" s="14"/>
      <c r="L39" s="149" t="s">
        <v>451</v>
      </c>
      <c r="M39" s="14" t="b">
        <v>0</v>
      </c>
      <c r="N39" s="14" t="b">
        <v>0</v>
      </c>
      <c r="O39" s="171" t="s">
        <v>115</v>
      </c>
    </row>
    <row r="40" spans="2:15" ht="13">
      <c r="B40" s="149" t="s">
        <v>452</v>
      </c>
      <c r="C40" s="14" t="b">
        <v>1</v>
      </c>
      <c r="D40" s="14" t="b">
        <v>1</v>
      </c>
      <c r="E40" s="156" t="s">
        <v>453</v>
      </c>
      <c r="F40" s="14"/>
      <c r="G40" s="149" t="s">
        <v>454</v>
      </c>
      <c r="H40" s="115" t="b">
        <v>0</v>
      </c>
      <c r="I40" s="115" t="b">
        <v>0</v>
      </c>
      <c r="J40" s="159" t="s">
        <v>455</v>
      </c>
      <c r="K40" s="14"/>
      <c r="L40" s="149" t="s">
        <v>456</v>
      </c>
      <c r="M40" s="14" t="b">
        <v>0</v>
      </c>
      <c r="N40" s="14" t="b">
        <v>0</v>
      </c>
      <c r="O40" s="171" t="s">
        <v>115</v>
      </c>
    </row>
    <row r="41" spans="2:15" ht="12.5">
      <c r="B41" s="10" t="s">
        <v>457</v>
      </c>
      <c r="C41" s="13" t="b">
        <v>0</v>
      </c>
      <c r="D41" s="13" t="b">
        <v>0</v>
      </c>
      <c r="E41" s="168" t="s">
        <v>384</v>
      </c>
      <c r="F41" s="14"/>
      <c r="G41" s="149" t="s">
        <v>458</v>
      </c>
      <c r="H41" s="115" t="b">
        <v>1</v>
      </c>
      <c r="I41" s="115" t="b">
        <v>1</v>
      </c>
      <c r="J41" s="157" t="s">
        <v>348</v>
      </c>
      <c r="K41" s="14"/>
      <c r="L41" s="149" t="s">
        <v>459</v>
      </c>
      <c r="M41" s="14" t="b">
        <v>0</v>
      </c>
      <c r="N41" s="14" t="b">
        <v>0</v>
      </c>
      <c r="O41" s="171" t="s">
        <v>115</v>
      </c>
    </row>
    <row r="42" spans="2:15" ht="12.5">
      <c r="B42" s="149" t="s">
        <v>460</v>
      </c>
      <c r="C42" s="14" t="b">
        <v>0</v>
      </c>
      <c r="D42" s="14" t="b">
        <v>0</v>
      </c>
      <c r="E42" s="154" t="s">
        <v>351</v>
      </c>
      <c r="F42" s="14"/>
      <c r="G42" s="32" t="s">
        <v>461</v>
      </c>
      <c r="H42" s="115" t="b">
        <v>1</v>
      </c>
      <c r="I42" s="115" t="b">
        <v>1</v>
      </c>
      <c r="J42" s="145" t="s">
        <v>462</v>
      </c>
      <c r="K42" s="14"/>
      <c r="L42" s="149" t="s">
        <v>463</v>
      </c>
      <c r="M42" s="14" t="b">
        <v>0</v>
      </c>
      <c r="N42" s="14" t="b">
        <v>0</v>
      </c>
      <c r="O42" s="171" t="s">
        <v>115</v>
      </c>
    </row>
    <row r="43" spans="2:15" ht="12.5">
      <c r="B43" s="149" t="s">
        <v>464</v>
      </c>
      <c r="C43" s="14" t="b">
        <v>1</v>
      </c>
      <c r="D43" s="14" t="b">
        <v>0</v>
      </c>
      <c r="E43" s="157" t="s">
        <v>299</v>
      </c>
      <c r="F43" s="14"/>
      <c r="G43" s="149" t="s">
        <v>465</v>
      </c>
      <c r="H43" s="115" t="b">
        <v>1</v>
      </c>
      <c r="I43" s="115" t="b">
        <v>1</v>
      </c>
      <c r="J43" s="151" t="s">
        <v>466</v>
      </c>
      <c r="K43" s="14"/>
      <c r="L43" s="10" t="s">
        <v>467</v>
      </c>
      <c r="M43" s="14" t="b">
        <v>0</v>
      </c>
      <c r="N43" s="14" t="b">
        <v>0</v>
      </c>
      <c r="O43" s="171" t="s">
        <v>115</v>
      </c>
    </row>
    <row r="44" spans="2:15" ht="12.5">
      <c r="B44" s="149" t="s">
        <v>468</v>
      </c>
      <c r="C44" s="14" t="b">
        <v>1</v>
      </c>
      <c r="D44" s="14" t="b">
        <v>1</v>
      </c>
      <c r="E44" s="178" t="s">
        <v>469</v>
      </c>
      <c r="F44" s="14"/>
      <c r="G44" s="149" t="s">
        <v>470</v>
      </c>
      <c r="H44" s="14" t="b">
        <v>1</v>
      </c>
      <c r="I44" s="14" t="b">
        <v>1</v>
      </c>
      <c r="J44" s="157" t="s">
        <v>299</v>
      </c>
      <c r="K44" s="14"/>
      <c r="L44" s="149" t="s">
        <v>471</v>
      </c>
      <c r="M44" s="14" t="b">
        <v>0</v>
      </c>
      <c r="N44" s="14" t="b">
        <v>0</v>
      </c>
      <c r="O44" s="171" t="s">
        <v>115</v>
      </c>
    </row>
    <row r="45" spans="2:15" ht="13">
      <c r="B45" s="149" t="s">
        <v>472</v>
      </c>
      <c r="C45" s="13" t="b">
        <v>0</v>
      </c>
      <c r="D45" s="13" t="b">
        <v>0</v>
      </c>
      <c r="E45" s="154" t="s">
        <v>351</v>
      </c>
      <c r="F45" s="14"/>
      <c r="G45" s="149" t="s">
        <v>473</v>
      </c>
      <c r="H45" s="14" t="b">
        <v>1</v>
      </c>
      <c r="I45" s="14" t="b">
        <v>1</v>
      </c>
      <c r="J45" s="156" t="s">
        <v>474</v>
      </c>
      <c r="K45" s="14"/>
      <c r="L45" s="149" t="s">
        <v>475</v>
      </c>
      <c r="M45" s="14" t="b">
        <v>0</v>
      </c>
      <c r="N45" s="14" t="b">
        <v>0</v>
      </c>
      <c r="O45" s="171" t="s">
        <v>115</v>
      </c>
    </row>
    <row r="46" spans="2:15" ht="12.5">
      <c r="B46" s="10" t="s">
        <v>476</v>
      </c>
      <c r="C46" s="14" t="b">
        <v>1</v>
      </c>
      <c r="D46" s="14" t="b">
        <v>1</v>
      </c>
      <c r="E46" s="155" t="s">
        <v>344</v>
      </c>
      <c r="F46" s="14"/>
      <c r="G46" s="149" t="s">
        <v>477</v>
      </c>
      <c r="H46" s="14" t="b">
        <v>1</v>
      </c>
      <c r="I46" s="14" t="b">
        <v>0</v>
      </c>
      <c r="J46" s="152" t="s">
        <v>305</v>
      </c>
      <c r="K46" s="14"/>
      <c r="L46" s="149" t="s">
        <v>478</v>
      </c>
      <c r="M46" s="14" t="b">
        <v>0</v>
      </c>
      <c r="N46" s="14" t="b">
        <v>0</v>
      </c>
      <c r="O46" s="171" t="s">
        <v>115</v>
      </c>
    </row>
    <row r="47" spans="2:15" ht="12.5">
      <c r="B47" s="10" t="s">
        <v>479</v>
      </c>
      <c r="C47" s="14" t="b">
        <v>0</v>
      </c>
      <c r="D47" s="14" t="b">
        <v>0</v>
      </c>
      <c r="E47" s="179" t="s">
        <v>406</v>
      </c>
      <c r="F47" s="14"/>
      <c r="G47" s="149" t="s">
        <v>480</v>
      </c>
      <c r="H47" s="14" t="b">
        <v>1</v>
      </c>
      <c r="I47" s="14" t="b">
        <v>1</v>
      </c>
      <c r="J47" s="180" t="s">
        <v>481</v>
      </c>
      <c r="K47" s="14"/>
      <c r="L47" s="149" t="s">
        <v>482</v>
      </c>
      <c r="M47" s="14" t="b">
        <v>0</v>
      </c>
      <c r="N47" s="14" t="b">
        <v>0</v>
      </c>
      <c r="O47" s="171" t="s">
        <v>115</v>
      </c>
    </row>
    <row r="48" spans="2:15" ht="12.5">
      <c r="B48" s="10" t="s">
        <v>483</v>
      </c>
      <c r="C48" s="14" t="b">
        <v>0</v>
      </c>
      <c r="D48" s="14" t="b">
        <v>0</v>
      </c>
      <c r="E48" s="175" t="s">
        <v>406</v>
      </c>
      <c r="F48" s="14"/>
      <c r="G48" s="149" t="s">
        <v>484</v>
      </c>
      <c r="H48" s="14" t="b">
        <v>1</v>
      </c>
      <c r="I48" s="14" t="b">
        <v>1</v>
      </c>
      <c r="J48" s="152" t="s">
        <v>305</v>
      </c>
      <c r="K48" s="14"/>
      <c r="L48" s="162" t="s">
        <v>485</v>
      </c>
      <c r="M48" s="163" t="b">
        <v>0</v>
      </c>
      <c r="N48" s="163" t="b">
        <v>0</v>
      </c>
      <c r="O48" s="181" t="s">
        <v>115</v>
      </c>
    </row>
    <row r="49" spans="2:15" ht="12.5">
      <c r="B49" s="10" t="s">
        <v>486</v>
      </c>
      <c r="C49" s="13" t="b">
        <v>0</v>
      </c>
      <c r="D49" s="13" t="b">
        <v>0</v>
      </c>
      <c r="E49" s="175" t="s">
        <v>406</v>
      </c>
      <c r="F49" s="14"/>
      <c r="G49" s="149" t="s">
        <v>487</v>
      </c>
      <c r="H49" s="14" t="b">
        <v>0</v>
      </c>
      <c r="I49" s="14" t="b">
        <v>0</v>
      </c>
      <c r="J49" s="182" t="s">
        <v>406</v>
      </c>
      <c r="K49" s="14"/>
      <c r="L49" s="183"/>
      <c r="M49" s="183"/>
      <c r="N49" s="183"/>
      <c r="O49" s="183"/>
    </row>
    <row r="50" spans="2:15" ht="13">
      <c r="B50" s="10" t="s">
        <v>488</v>
      </c>
      <c r="C50" s="14" t="b">
        <v>0</v>
      </c>
      <c r="D50" s="14" t="b">
        <v>0</v>
      </c>
      <c r="E50" s="175" t="s">
        <v>406</v>
      </c>
      <c r="F50" s="14"/>
      <c r="G50" s="149" t="s">
        <v>489</v>
      </c>
      <c r="H50" s="14" t="b">
        <v>1</v>
      </c>
      <c r="I50" s="14" t="b">
        <v>0</v>
      </c>
      <c r="J50" s="156" t="s">
        <v>490</v>
      </c>
      <c r="K50" s="14"/>
      <c r="L50" s="100" t="s">
        <v>346</v>
      </c>
      <c r="M50" s="101" t="s">
        <v>86</v>
      </c>
      <c r="N50" s="101" t="s">
        <v>87</v>
      </c>
      <c r="O50" s="102" t="s">
        <v>110</v>
      </c>
    </row>
    <row r="51" spans="2:15" ht="12.5">
      <c r="B51" s="10" t="s">
        <v>491</v>
      </c>
      <c r="C51" s="14" t="b">
        <v>1</v>
      </c>
      <c r="D51" s="14" t="b">
        <v>0</v>
      </c>
      <c r="E51" s="155" t="s">
        <v>331</v>
      </c>
      <c r="F51" s="14"/>
      <c r="G51" s="10" t="s">
        <v>492</v>
      </c>
      <c r="H51" s="13" t="b">
        <v>1</v>
      </c>
      <c r="I51" s="13" t="b">
        <v>1</v>
      </c>
      <c r="J51" s="155" t="s">
        <v>493</v>
      </c>
      <c r="L51" s="146" t="s">
        <v>494</v>
      </c>
      <c r="M51" s="147" t="b">
        <v>1</v>
      </c>
      <c r="N51" s="147" t="b">
        <v>1</v>
      </c>
      <c r="O51" s="111" t="s">
        <v>305</v>
      </c>
    </row>
    <row r="52" spans="2:15" ht="12.5">
      <c r="B52" s="149" t="s">
        <v>495</v>
      </c>
      <c r="C52" s="14" t="b">
        <v>1</v>
      </c>
      <c r="D52" s="14" t="b">
        <v>0</v>
      </c>
      <c r="E52" s="154" t="s">
        <v>299</v>
      </c>
      <c r="F52" s="14"/>
      <c r="G52" s="162" t="s">
        <v>496</v>
      </c>
      <c r="H52" s="163" t="b">
        <v>1</v>
      </c>
      <c r="I52" s="163" t="b">
        <v>0</v>
      </c>
      <c r="J52" s="184" t="s">
        <v>305</v>
      </c>
      <c r="L52" s="149" t="s">
        <v>497</v>
      </c>
      <c r="M52" s="14" t="b">
        <v>1</v>
      </c>
      <c r="N52" s="14" t="b">
        <v>1</v>
      </c>
      <c r="O52" s="127" t="s">
        <v>305</v>
      </c>
    </row>
    <row r="53" spans="2:15" ht="12.5">
      <c r="B53" s="10" t="s">
        <v>498</v>
      </c>
      <c r="C53" s="13" t="b">
        <v>1</v>
      </c>
      <c r="D53" s="13" t="b">
        <v>1</v>
      </c>
      <c r="E53" s="179" t="s">
        <v>406</v>
      </c>
      <c r="F53" s="14"/>
      <c r="L53" s="162" t="s">
        <v>499</v>
      </c>
      <c r="M53" s="163" t="b">
        <v>1</v>
      </c>
      <c r="N53" s="163" t="b">
        <v>1</v>
      </c>
      <c r="O53" s="185" t="s">
        <v>305</v>
      </c>
    </row>
    <row r="54" spans="2:15" ht="12.5">
      <c r="B54" s="10" t="s">
        <v>500</v>
      </c>
      <c r="C54" s="14" t="b">
        <v>1</v>
      </c>
      <c r="D54" s="14" t="b">
        <v>1</v>
      </c>
      <c r="E54" s="168" t="s">
        <v>501</v>
      </c>
      <c r="F54" s="14"/>
      <c r="L54" s="14"/>
      <c r="M54" s="14"/>
      <c r="N54" s="14"/>
      <c r="O54" s="14"/>
    </row>
    <row r="55" spans="2:15" ht="13">
      <c r="B55" s="10" t="s">
        <v>502</v>
      </c>
      <c r="C55" s="14" t="b">
        <v>1</v>
      </c>
      <c r="D55" s="14" t="b">
        <v>1</v>
      </c>
      <c r="E55" s="186" t="s">
        <v>503</v>
      </c>
      <c r="F55" s="14"/>
      <c r="G55" s="20" t="s">
        <v>325</v>
      </c>
      <c r="H55" s="103" t="s">
        <v>86</v>
      </c>
      <c r="I55" s="103" t="s">
        <v>87</v>
      </c>
      <c r="J55" s="103" t="s">
        <v>110</v>
      </c>
      <c r="L55" s="14"/>
      <c r="M55" s="14"/>
      <c r="N55" s="14"/>
      <c r="O55" s="14"/>
    </row>
    <row r="56" spans="2:15" ht="13">
      <c r="B56" s="10" t="s">
        <v>504</v>
      </c>
      <c r="C56" s="14" t="b">
        <v>1</v>
      </c>
      <c r="D56" s="14" t="b">
        <v>0</v>
      </c>
      <c r="E56" s="155" t="s">
        <v>331</v>
      </c>
      <c r="F56" s="14"/>
      <c r="G56" s="149" t="s">
        <v>505</v>
      </c>
      <c r="H56" s="14" t="b">
        <v>1</v>
      </c>
      <c r="I56" s="14" t="b">
        <v>1</v>
      </c>
      <c r="J56" s="187" t="s">
        <v>506</v>
      </c>
      <c r="L56" s="100" t="s">
        <v>352</v>
      </c>
      <c r="M56" s="101" t="s">
        <v>86</v>
      </c>
      <c r="N56" s="101" t="s">
        <v>87</v>
      </c>
      <c r="O56" s="102" t="s">
        <v>110</v>
      </c>
    </row>
    <row r="57" spans="2:15" ht="12.5">
      <c r="B57" s="10" t="s">
        <v>507</v>
      </c>
      <c r="C57" s="13" t="b">
        <v>0</v>
      </c>
      <c r="D57" s="13" t="b">
        <v>0</v>
      </c>
      <c r="E57" s="188" t="s">
        <v>508</v>
      </c>
      <c r="F57" s="14"/>
      <c r="G57" s="149" t="s">
        <v>509</v>
      </c>
      <c r="H57" s="14" t="b">
        <v>1</v>
      </c>
      <c r="I57" s="14" t="b">
        <v>0</v>
      </c>
      <c r="J57" s="154" t="s">
        <v>299</v>
      </c>
      <c r="L57" s="146" t="s">
        <v>510</v>
      </c>
      <c r="M57" s="147" t="b">
        <v>0</v>
      </c>
      <c r="N57" s="147" t="b">
        <v>0</v>
      </c>
      <c r="O57" s="189" t="s">
        <v>511</v>
      </c>
    </row>
    <row r="58" spans="2:15" ht="12.5">
      <c r="B58" s="149" t="s">
        <v>512</v>
      </c>
      <c r="C58" s="14" t="b">
        <v>1</v>
      </c>
      <c r="D58" s="14" t="b">
        <v>0</v>
      </c>
      <c r="E58" s="152" t="s">
        <v>305</v>
      </c>
      <c r="G58" s="149" t="s">
        <v>513</v>
      </c>
      <c r="H58" s="14" t="b">
        <v>1</v>
      </c>
      <c r="I58" s="14" t="b">
        <v>0</v>
      </c>
      <c r="J58" s="154" t="s">
        <v>514</v>
      </c>
      <c r="L58" s="15" t="s">
        <v>515</v>
      </c>
      <c r="M58" s="16"/>
      <c r="N58" s="16" t="b">
        <v>0</v>
      </c>
      <c r="O58" s="190"/>
    </row>
    <row r="59" spans="2:15" ht="12.5">
      <c r="B59" s="149" t="s">
        <v>516</v>
      </c>
      <c r="C59" s="13" t="b">
        <v>1</v>
      </c>
      <c r="D59" s="13" t="b">
        <v>0</v>
      </c>
      <c r="E59" s="145" t="s">
        <v>517</v>
      </c>
      <c r="G59" s="162" t="s">
        <v>518</v>
      </c>
      <c r="H59" s="163" t="b">
        <v>1</v>
      </c>
      <c r="I59" s="163" t="b">
        <v>1</v>
      </c>
      <c r="J59" s="191" t="s">
        <v>348</v>
      </c>
      <c r="L59" s="149" t="s">
        <v>519</v>
      </c>
      <c r="M59" s="14" t="b">
        <v>0</v>
      </c>
      <c r="N59" s="14" t="b">
        <v>0</v>
      </c>
      <c r="O59" s="192" t="s">
        <v>511</v>
      </c>
    </row>
    <row r="60" spans="2:15" ht="12.5">
      <c r="B60" s="149" t="s">
        <v>520</v>
      </c>
      <c r="C60" s="14" t="b">
        <v>1</v>
      </c>
      <c r="D60" s="14" t="b">
        <v>0</v>
      </c>
      <c r="E60" s="152" t="s">
        <v>305</v>
      </c>
      <c r="L60" s="15" t="s">
        <v>515</v>
      </c>
      <c r="M60" s="16"/>
      <c r="N60" s="16" t="b">
        <v>0</v>
      </c>
      <c r="O60" s="190"/>
    </row>
    <row r="61" spans="2:15" ht="13">
      <c r="B61" s="149" t="s">
        <v>521</v>
      </c>
      <c r="C61" s="14" t="b">
        <v>1</v>
      </c>
      <c r="D61" s="14" t="b">
        <v>1</v>
      </c>
      <c r="E61" s="154" t="s">
        <v>299</v>
      </c>
      <c r="G61" s="20" t="s">
        <v>522</v>
      </c>
      <c r="H61" s="103" t="s">
        <v>86</v>
      </c>
      <c r="I61" s="103" t="s">
        <v>87</v>
      </c>
      <c r="J61" s="103" t="s">
        <v>110</v>
      </c>
      <c r="L61" s="149" t="s">
        <v>523</v>
      </c>
      <c r="M61" s="14" t="b">
        <v>0</v>
      </c>
      <c r="N61" s="14" t="b">
        <v>0</v>
      </c>
      <c r="O61" s="192" t="s">
        <v>511</v>
      </c>
    </row>
    <row r="62" spans="2:15" ht="12.5">
      <c r="B62" s="10" t="s">
        <v>524</v>
      </c>
      <c r="C62" s="14" t="b">
        <v>0</v>
      </c>
      <c r="D62" s="14" t="b">
        <v>0</v>
      </c>
      <c r="E62" s="179" t="s">
        <v>406</v>
      </c>
      <c r="G62" s="162" t="s">
        <v>525</v>
      </c>
      <c r="H62" s="163" t="b">
        <v>1</v>
      </c>
      <c r="I62" s="163" t="b">
        <v>1</v>
      </c>
      <c r="J62" s="193" t="s">
        <v>526</v>
      </c>
      <c r="L62" s="15" t="s">
        <v>515</v>
      </c>
      <c r="M62" s="16"/>
      <c r="N62" s="16" t="b">
        <v>0</v>
      </c>
      <c r="O62" s="190"/>
    </row>
    <row r="63" spans="2:15" ht="12.5">
      <c r="B63" s="149" t="s">
        <v>527</v>
      </c>
      <c r="C63" s="13" t="b">
        <v>1</v>
      </c>
      <c r="D63" s="13" t="b">
        <v>1</v>
      </c>
      <c r="E63" s="157" t="s">
        <v>348</v>
      </c>
      <c r="L63" s="146" t="s">
        <v>528</v>
      </c>
      <c r="M63" s="194" t="b">
        <v>0</v>
      </c>
      <c r="N63" s="194" t="b">
        <v>0</v>
      </c>
      <c r="O63" s="189" t="s">
        <v>511</v>
      </c>
    </row>
    <row r="64" spans="2:15" ht="13">
      <c r="B64" s="149" t="s">
        <v>529</v>
      </c>
      <c r="C64" s="14" t="b">
        <v>0</v>
      </c>
      <c r="D64" s="14" t="b">
        <v>0</v>
      </c>
      <c r="E64" s="154" t="s">
        <v>351</v>
      </c>
      <c r="G64" s="100" t="s">
        <v>361</v>
      </c>
      <c r="H64" s="101" t="s">
        <v>86</v>
      </c>
      <c r="I64" s="101" t="s">
        <v>87</v>
      </c>
      <c r="J64" s="102" t="s">
        <v>110</v>
      </c>
      <c r="L64" s="162" t="s">
        <v>515</v>
      </c>
      <c r="M64" s="163"/>
      <c r="N64" s="195" t="b">
        <v>0</v>
      </c>
      <c r="O64" s="196"/>
    </row>
    <row r="65" spans="2:15" ht="12.5">
      <c r="B65" s="149" t="s">
        <v>530</v>
      </c>
      <c r="C65" s="14" t="b">
        <v>1</v>
      </c>
      <c r="D65" s="14" t="b">
        <v>1</v>
      </c>
      <c r="E65" s="159" t="s">
        <v>531</v>
      </c>
      <c r="G65" s="146" t="s">
        <v>532</v>
      </c>
      <c r="H65" s="147" t="b">
        <v>1</v>
      </c>
      <c r="I65" s="147" t="b">
        <v>1</v>
      </c>
      <c r="J65" s="197" t="s">
        <v>533</v>
      </c>
      <c r="L65" s="146" t="s">
        <v>534</v>
      </c>
      <c r="M65" s="147" t="b">
        <v>0</v>
      </c>
      <c r="N65" s="147" t="b">
        <v>0</v>
      </c>
      <c r="O65" s="189" t="s">
        <v>511</v>
      </c>
    </row>
    <row r="66" spans="2:15" ht="12.5">
      <c r="B66" s="149" t="s">
        <v>535</v>
      </c>
      <c r="C66" s="13" t="b">
        <v>1</v>
      </c>
      <c r="D66" s="13" t="b">
        <v>1</v>
      </c>
      <c r="E66" s="157" t="s">
        <v>348</v>
      </c>
      <c r="G66" s="15" t="s">
        <v>515</v>
      </c>
      <c r="H66" s="16"/>
      <c r="I66" s="16" t="b">
        <v>1</v>
      </c>
      <c r="J66" s="198"/>
      <c r="L66" s="15" t="s">
        <v>515</v>
      </c>
      <c r="M66" s="16"/>
      <c r="N66" s="16" t="b">
        <v>0</v>
      </c>
      <c r="O66" s="190"/>
    </row>
    <row r="67" spans="2:15" ht="12.5">
      <c r="B67" s="149" t="s">
        <v>536</v>
      </c>
      <c r="C67" s="14" t="b">
        <v>1</v>
      </c>
      <c r="D67" s="14" t="b">
        <v>0</v>
      </c>
      <c r="E67" s="152" t="s">
        <v>305</v>
      </c>
      <c r="G67" s="149" t="s">
        <v>537</v>
      </c>
      <c r="H67" s="14" t="b">
        <v>1</v>
      </c>
      <c r="I67" s="14" t="b">
        <v>1</v>
      </c>
      <c r="J67" s="197" t="s">
        <v>533</v>
      </c>
      <c r="L67" s="149" t="s">
        <v>538</v>
      </c>
      <c r="M67" s="14" t="b">
        <v>0</v>
      </c>
      <c r="N67" s="14" t="b">
        <v>0</v>
      </c>
      <c r="O67" s="192" t="s">
        <v>511</v>
      </c>
    </row>
    <row r="68" spans="2:15" ht="12.5">
      <c r="B68" s="149" t="s">
        <v>539</v>
      </c>
      <c r="C68" s="14" t="b">
        <v>1</v>
      </c>
      <c r="D68" s="14" t="b">
        <v>1</v>
      </c>
      <c r="E68" s="188" t="s">
        <v>540</v>
      </c>
      <c r="G68" s="15" t="s">
        <v>515</v>
      </c>
      <c r="H68" s="16"/>
      <c r="I68" s="16" t="b">
        <v>1</v>
      </c>
      <c r="J68" s="198"/>
      <c r="L68" s="15" t="s">
        <v>515</v>
      </c>
      <c r="M68" s="16"/>
      <c r="N68" s="16" t="b">
        <v>0</v>
      </c>
      <c r="O68" s="190"/>
    </row>
    <row r="69" spans="2:15" ht="13">
      <c r="B69" s="149" t="s">
        <v>541</v>
      </c>
      <c r="C69" s="14" t="b">
        <v>1</v>
      </c>
      <c r="D69" s="14" t="b">
        <v>0</v>
      </c>
      <c r="E69" s="156" t="s">
        <v>542</v>
      </c>
      <c r="G69" s="149" t="s">
        <v>543</v>
      </c>
      <c r="H69" s="14" t="b">
        <v>0</v>
      </c>
      <c r="I69" s="14" t="b">
        <v>0</v>
      </c>
      <c r="J69" s="197" t="s">
        <v>533</v>
      </c>
      <c r="L69" s="149" t="s">
        <v>544</v>
      </c>
      <c r="M69" s="14" t="b">
        <v>0</v>
      </c>
      <c r="N69" s="14" t="b">
        <v>0</v>
      </c>
      <c r="O69" s="192" t="s">
        <v>511</v>
      </c>
    </row>
    <row r="70" spans="2:15" ht="12.5">
      <c r="B70" s="149" t="s">
        <v>545</v>
      </c>
      <c r="C70" s="14" t="b">
        <v>1</v>
      </c>
      <c r="D70" s="14" t="b">
        <v>0</v>
      </c>
      <c r="E70" s="159" t="s">
        <v>318</v>
      </c>
      <c r="G70" s="15" t="s">
        <v>515</v>
      </c>
      <c r="H70" s="16"/>
      <c r="I70" s="16" t="b">
        <v>0</v>
      </c>
      <c r="J70" s="198"/>
      <c r="L70" s="15" t="s">
        <v>515</v>
      </c>
      <c r="M70" s="16"/>
      <c r="N70" s="16" t="b">
        <v>0</v>
      </c>
      <c r="O70" s="190"/>
    </row>
    <row r="71" spans="2:15" ht="12.5">
      <c r="B71" s="10" t="s">
        <v>546</v>
      </c>
      <c r="C71" s="13" t="b">
        <v>1</v>
      </c>
      <c r="D71" s="13" t="b">
        <v>1</v>
      </c>
      <c r="E71" s="161" t="s">
        <v>547</v>
      </c>
      <c r="G71" s="146" t="s">
        <v>548</v>
      </c>
      <c r="H71" s="194" t="b">
        <v>1</v>
      </c>
      <c r="I71" s="194" t="b">
        <v>0</v>
      </c>
      <c r="J71" s="197" t="s">
        <v>533</v>
      </c>
      <c r="L71" s="149" t="s">
        <v>549</v>
      </c>
      <c r="M71" s="14" t="b">
        <v>0</v>
      </c>
      <c r="N71" s="14" t="b">
        <v>0</v>
      </c>
      <c r="O71" s="192" t="s">
        <v>511</v>
      </c>
    </row>
    <row r="72" spans="2:15" ht="12.5">
      <c r="B72" s="162" t="s">
        <v>550</v>
      </c>
      <c r="C72" s="163" t="b">
        <v>1</v>
      </c>
      <c r="D72" s="163" t="b">
        <v>1</v>
      </c>
      <c r="E72" s="199" t="s">
        <v>551</v>
      </c>
      <c r="G72" s="162" t="s">
        <v>515</v>
      </c>
      <c r="H72" s="163"/>
      <c r="I72" s="195" t="b">
        <v>0</v>
      </c>
      <c r="J72" s="200"/>
      <c r="L72" s="15" t="s">
        <v>515</v>
      </c>
      <c r="M72" s="16"/>
      <c r="N72" s="16" t="b">
        <v>0</v>
      </c>
      <c r="O72" s="190"/>
    </row>
    <row r="73" spans="2:15" ht="12.5">
      <c r="G73" s="149" t="s">
        <v>552</v>
      </c>
      <c r="H73" s="14" t="b">
        <v>0</v>
      </c>
      <c r="I73" s="14" t="b">
        <v>0</v>
      </c>
      <c r="J73" s="197" t="s">
        <v>533</v>
      </c>
      <c r="L73" s="149" t="s">
        <v>553</v>
      </c>
      <c r="M73" s="14" t="b">
        <v>0</v>
      </c>
      <c r="N73" s="14" t="b">
        <v>0</v>
      </c>
      <c r="O73" s="192" t="s">
        <v>511</v>
      </c>
    </row>
    <row r="74" spans="2:15" ht="12.5">
      <c r="G74" s="15" t="s">
        <v>515</v>
      </c>
      <c r="H74" s="16"/>
      <c r="I74" s="16" t="b">
        <v>0</v>
      </c>
      <c r="J74" s="198"/>
      <c r="L74" s="10" t="s">
        <v>515</v>
      </c>
      <c r="N74" s="13" t="b">
        <v>0</v>
      </c>
      <c r="O74" s="201"/>
    </row>
    <row r="75" spans="2:15" ht="12.5">
      <c r="L75" s="146" t="s">
        <v>554</v>
      </c>
      <c r="M75" s="194" t="b">
        <v>1</v>
      </c>
      <c r="N75" s="194" t="b">
        <v>1</v>
      </c>
      <c r="O75" s="189" t="s">
        <v>511</v>
      </c>
    </row>
    <row r="76" spans="2:15" ht="12.5">
      <c r="L76" s="162" t="s">
        <v>515</v>
      </c>
      <c r="M76" s="163"/>
      <c r="N76" s="195" t="b">
        <v>1</v>
      </c>
      <c r="O76" s="196"/>
    </row>
    <row r="77" spans="2:15" ht="12.5">
      <c r="L77" s="146" t="s">
        <v>555</v>
      </c>
      <c r="M77" s="194" t="b">
        <v>0</v>
      </c>
      <c r="N77" s="194" t="b">
        <v>0</v>
      </c>
      <c r="O77" s="189" t="s">
        <v>511</v>
      </c>
    </row>
    <row r="78" spans="2:15" ht="12.5">
      <c r="L78" s="162" t="s">
        <v>515</v>
      </c>
      <c r="M78" s="163"/>
      <c r="N78" s="195" t="b">
        <v>0</v>
      </c>
      <c r="O78" s="196"/>
    </row>
    <row r="79" spans="2:15" ht="12.5">
      <c r="G79">
        <f>IF(H71="TRUE",(IF(I72="FALSE",1,0)),0)</f>
        <v>0</v>
      </c>
      <c r="L79" s="146" t="s">
        <v>556</v>
      </c>
      <c r="M79" s="147" t="b">
        <v>0</v>
      </c>
      <c r="N79" s="147" t="b">
        <v>0</v>
      </c>
      <c r="O79" s="189" t="s">
        <v>511</v>
      </c>
    </row>
    <row r="80" spans="2:15" ht="12.5">
      <c r="L80" s="15" t="s">
        <v>515</v>
      </c>
      <c r="M80" s="16"/>
      <c r="N80" s="16" t="b">
        <v>0</v>
      </c>
      <c r="O80" s="190"/>
    </row>
    <row r="81" spans="7:15" ht="12.5">
      <c r="G81" s="13">
        <f>COUNTIF(I72,"FALSE")</f>
        <v>1</v>
      </c>
    </row>
    <row r="82" spans="7:15" ht="13">
      <c r="L82" s="100" t="s">
        <v>358</v>
      </c>
      <c r="M82" s="101" t="s">
        <v>86</v>
      </c>
      <c r="N82" s="101" t="s">
        <v>87</v>
      </c>
      <c r="O82" s="102" t="s">
        <v>110</v>
      </c>
    </row>
    <row r="83" spans="7:15" ht="12.5">
      <c r="G83">
        <f>SUMPRODUCT((H65:H73=TRUE)*(I66:I74=FALSE)) + SUMPRODUCT((M57:M79=TRUE)*(N58:N80=FALSE)) + SUMPRODUCT((M83:M95=TRUE)*(N84:N96=FALSE))</f>
        <v>1</v>
      </c>
      <c r="L83" s="146" t="s">
        <v>557</v>
      </c>
      <c r="M83" s="147" t="b">
        <v>1</v>
      </c>
      <c r="N83" s="147" t="b">
        <v>1</v>
      </c>
      <c r="O83" s="189" t="s">
        <v>558</v>
      </c>
    </row>
    <row r="84" spans="7:15" ht="12.5">
      <c r="L84" s="15" t="s">
        <v>515</v>
      </c>
      <c r="M84" s="16"/>
      <c r="N84" s="16" t="b">
        <v>1</v>
      </c>
      <c r="O84" s="190"/>
    </row>
    <row r="85" spans="7:15" ht="12.5">
      <c r="L85" s="149" t="s">
        <v>559</v>
      </c>
      <c r="M85" s="14" t="b">
        <v>0</v>
      </c>
      <c r="N85" s="14" t="b">
        <v>0</v>
      </c>
      <c r="O85" s="192" t="s">
        <v>558</v>
      </c>
    </row>
    <row r="86" spans="7:15" ht="12.5">
      <c r="L86" s="15" t="s">
        <v>515</v>
      </c>
      <c r="M86" s="16"/>
      <c r="N86" s="16" t="b">
        <v>0</v>
      </c>
      <c r="O86" s="190"/>
    </row>
    <row r="87" spans="7:15" ht="12.5">
      <c r="L87" s="146" t="s">
        <v>560</v>
      </c>
      <c r="M87" s="194" t="b">
        <v>0</v>
      </c>
      <c r="N87" s="194" t="b">
        <v>0</v>
      </c>
      <c r="O87" s="189" t="s">
        <v>558</v>
      </c>
    </row>
    <row r="88" spans="7:15" ht="12.5">
      <c r="L88" s="162" t="s">
        <v>515</v>
      </c>
      <c r="M88" s="163"/>
      <c r="N88" s="195" t="b">
        <v>0</v>
      </c>
      <c r="O88" s="196"/>
    </row>
    <row r="89" spans="7:15" ht="12.5">
      <c r="L89" s="149" t="s">
        <v>561</v>
      </c>
      <c r="M89" s="14" t="b">
        <v>0</v>
      </c>
      <c r="N89" s="14" t="b">
        <v>0</v>
      </c>
      <c r="O89" s="192" t="s">
        <v>558</v>
      </c>
    </row>
    <row r="90" spans="7:15" ht="12.5">
      <c r="L90" s="15" t="s">
        <v>515</v>
      </c>
      <c r="M90" s="16"/>
      <c r="N90" s="16" t="b">
        <v>0</v>
      </c>
      <c r="O90" s="190"/>
    </row>
    <row r="91" spans="7:15" ht="12.5">
      <c r="L91" s="149" t="s">
        <v>562</v>
      </c>
      <c r="M91" s="14" t="b">
        <v>1</v>
      </c>
      <c r="N91" s="14" t="b">
        <v>1</v>
      </c>
      <c r="O91" s="192" t="s">
        <v>558</v>
      </c>
    </row>
    <row r="92" spans="7:15" ht="12.5">
      <c r="L92" s="15" t="s">
        <v>515</v>
      </c>
      <c r="M92" s="16"/>
      <c r="N92" s="16" t="b">
        <v>1</v>
      </c>
      <c r="O92" s="190"/>
    </row>
    <row r="93" spans="7:15" ht="12.5">
      <c r="L93" s="149" t="s">
        <v>563</v>
      </c>
      <c r="M93" s="14" t="b">
        <v>0</v>
      </c>
      <c r="N93" s="14" t="b">
        <v>0</v>
      </c>
      <c r="O93" s="192" t="s">
        <v>558</v>
      </c>
    </row>
    <row r="94" spans="7:15" ht="12.5">
      <c r="L94" s="15" t="s">
        <v>515</v>
      </c>
      <c r="M94" s="16"/>
      <c r="N94" s="16" t="b">
        <v>0</v>
      </c>
      <c r="O94" s="190"/>
    </row>
    <row r="95" spans="7:15" ht="12.5">
      <c r="L95" s="146" t="s">
        <v>564</v>
      </c>
      <c r="M95" s="194" t="b">
        <v>1</v>
      </c>
      <c r="N95" s="194" t="b">
        <v>1</v>
      </c>
      <c r="O95" s="189" t="s">
        <v>558</v>
      </c>
    </row>
    <row r="96" spans="7:15" ht="12.5">
      <c r="L96" s="162" t="s">
        <v>515</v>
      </c>
      <c r="M96" s="163"/>
      <c r="N96" s="195" t="b">
        <v>1</v>
      </c>
      <c r="O96" s="196"/>
    </row>
    <row r="101" spans="12:18" ht="12.5">
      <c r="R101" s="202"/>
    </row>
    <row r="105" spans="12:18" ht="12.5">
      <c r="L105" s="183"/>
      <c r="M105" s="183"/>
      <c r="N105" s="183"/>
      <c r="O105" s="183"/>
    </row>
    <row r="107" spans="12:18" ht="12.5">
      <c r="L107" s="203"/>
      <c r="M107" s="203"/>
      <c r="N107" s="203"/>
      <c r="O107" s="203"/>
    </row>
    <row r="108" spans="12:18" ht="12.5">
      <c r="L108" s="183"/>
      <c r="M108" s="183"/>
      <c r="N108" s="183"/>
      <c r="O108" s="183"/>
    </row>
    <row r="109" spans="12:18" ht="12.5">
      <c r="L109" s="203"/>
      <c r="M109" s="204"/>
      <c r="N109" s="204"/>
      <c r="O109" s="203"/>
    </row>
    <row r="110" spans="12:18" ht="12.5">
      <c r="L110" s="203"/>
      <c r="M110" s="203"/>
      <c r="N110" s="203"/>
      <c r="O110" s="203"/>
    </row>
  </sheetData>
  <conditionalFormatting sqref="B3:D105">
    <cfRule type="expression" dxfId="31" priority="3">
      <formula>$D3=TRUE</formula>
    </cfRule>
    <cfRule type="expression" dxfId="30" priority="4">
      <formula>$C3=TRUE</formula>
    </cfRule>
  </conditionalFormatting>
  <conditionalFormatting sqref="G3:I103">
    <cfRule type="expression" dxfId="29" priority="1">
      <formula>$I3=TRUE</formula>
    </cfRule>
    <cfRule type="expression" dxfId="28" priority="2">
      <formula>$H3=TRUE</formula>
    </cfRule>
  </conditionalFormatting>
  <conditionalFormatting sqref="L3:N103">
    <cfRule type="expression" dxfId="27" priority="5">
      <formula>$N3=TRUE</formula>
    </cfRule>
    <cfRule type="expression" dxfId="26" priority="6">
      <formula>$M3=TRUE</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T68"/>
  <sheetViews>
    <sheetView topLeftCell="H1" workbookViewId="0">
      <selection activeCell="K1" sqref="K1:K1048576"/>
    </sheetView>
  </sheetViews>
  <sheetFormatPr defaultColWidth="12.6328125" defaultRowHeight="15.75" customHeight="1"/>
  <cols>
    <col min="1" max="1" width="0.36328125" customWidth="1"/>
    <col min="2" max="2" width="15" customWidth="1"/>
    <col min="3" max="3" width="8" customWidth="1"/>
    <col min="4" max="4" width="8.08984375" customWidth="1"/>
    <col min="5" max="5" width="27.6328125" customWidth="1"/>
    <col min="6" max="6" width="1.36328125" customWidth="1"/>
    <col min="7" max="7" width="16.6328125" customWidth="1"/>
    <col min="8" max="9" width="8.08984375" customWidth="1"/>
    <col min="10" max="10" width="29.453125" customWidth="1"/>
    <col min="11" max="11" width="0.90625" customWidth="1"/>
    <col min="12" max="12" width="14.90625" customWidth="1"/>
    <col min="13" max="13" width="8" customWidth="1"/>
    <col min="14" max="14" width="8.08984375" customWidth="1"/>
    <col min="15" max="15" width="22" customWidth="1"/>
    <col min="16" max="16" width="1.7265625" customWidth="1"/>
    <col min="17" max="17" width="2" customWidth="1"/>
    <col min="18" max="18" width="14" customWidth="1"/>
    <col min="19" max="19" width="9.6328125" customWidth="1"/>
    <col min="21" max="21" width="0.7265625" customWidth="1"/>
  </cols>
  <sheetData>
    <row r="1" spans="2:20" ht="1.5" customHeight="1">
      <c r="B1" s="99"/>
      <c r="C1" s="99"/>
      <c r="D1" s="99"/>
      <c r="E1" s="99"/>
      <c r="F1" s="14"/>
      <c r="G1" s="99"/>
      <c r="H1" s="99"/>
      <c r="I1" s="99"/>
      <c r="J1" s="99"/>
      <c r="K1" s="14"/>
      <c r="L1" s="99"/>
      <c r="M1" s="99"/>
      <c r="N1" s="99"/>
      <c r="O1" s="99"/>
    </row>
    <row r="2" spans="2:20" ht="13">
      <c r="B2" s="100" t="s">
        <v>565</v>
      </c>
      <c r="C2" s="101" t="s">
        <v>86</v>
      </c>
      <c r="D2" s="101" t="s">
        <v>87</v>
      </c>
      <c r="E2" s="101" t="s">
        <v>110</v>
      </c>
      <c r="F2" s="14"/>
      <c r="G2" s="100" t="s">
        <v>566</v>
      </c>
      <c r="H2" s="101" t="s">
        <v>86</v>
      </c>
      <c r="I2" s="101" t="s">
        <v>87</v>
      </c>
      <c r="J2" s="101" t="s">
        <v>110</v>
      </c>
      <c r="K2" s="14"/>
      <c r="L2" s="100" t="s">
        <v>567</v>
      </c>
      <c r="M2" s="101" t="s">
        <v>86</v>
      </c>
      <c r="N2" s="101" t="s">
        <v>87</v>
      </c>
      <c r="O2" s="102" t="s">
        <v>110</v>
      </c>
      <c r="R2" s="105" t="s">
        <v>17</v>
      </c>
      <c r="S2" s="106" t="s">
        <v>18</v>
      </c>
      <c r="T2" s="107" t="s">
        <v>14</v>
      </c>
    </row>
    <row r="3" spans="2:20" ht="13">
      <c r="B3" s="146" t="s">
        <v>568</v>
      </c>
      <c r="C3" s="147" t="b">
        <v>0</v>
      </c>
      <c r="D3" s="147" t="b">
        <v>0</v>
      </c>
      <c r="E3" s="174" t="s">
        <v>351</v>
      </c>
      <c r="F3" s="14"/>
      <c r="G3" s="146" t="s">
        <v>569</v>
      </c>
      <c r="H3" s="147" t="b">
        <v>1</v>
      </c>
      <c r="I3" s="147" t="b">
        <v>1</v>
      </c>
      <c r="J3" s="205" t="s">
        <v>570</v>
      </c>
      <c r="K3" s="14"/>
      <c r="L3" s="114" t="s">
        <v>571</v>
      </c>
      <c r="M3" s="147" t="b">
        <v>0</v>
      </c>
      <c r="N3" s="147" t="b">
        <v>0</v>
      </c>
      <c r="O3" s="206" t="s">
        <v>115</v>
      </c>
      <c r="R3" s="114" t="s">
        <v>565</v>
      </c>
      <c r="S3" s="4">
        <f>COUNTIF(C3:C65, "TRUE")</f>
        <v>51</v>
      </c>
      <c r="T3" s="5">
        <f>COUNTIF(D3:D65, "TRUE")</f>
        <v>43</v>
      </c>
    </row>
    <row r="4" spans="2:20" ht="12.5">
      <c r="B4" s="149" t="s">
        <v>572</v>
      </c>
      <c r="C4" s="14" t="b">
        <v>1</v>
      </c>
      <c r="D4" s="14" t="b">
        <v>1</v>
      </c>
      <c r="E4" s="152" t="s">
        <v>305</v>
      </c>
      <c r="F4" s="14"/>
      <c r="G4" s="10" t="s">
        <v>573</v>
      </c>
      <c r="H4" s="13" t="b">
        <v>0</v>
      </c>
      <c r="I4" s="13" t="b">
        <v>0</v>
      </c>
      <c r="J4" s="207" t="s">
        <v>574</v>
      </c>
      <c r="K4" s="14"/>
      <c r="L4" s="10" t="s">
        <v>575</v>
      </c>
      <c r="M4" s="14" t="b">
        <v>0</v>
      </c>
      <c r="N4" s="14" t="b">
        <v>0</v>
      </c>
      <c r="O4" s="113" t="s">
        <v>115</v>
      </c>
      <c r="R4" s="10" t="s">
        <v>566</v>
      </c>
      <c r="S4">
        <f>COUNTIF(H3:H27, "TRUE")</f>
        <v>21</v>
      </c>
      <c r="T4" s="12">
        <f>COUNTIF(I3:I27, "TRUE")</f>
        <v>13</v>
      </c>
    </row>
    <row r="5" spans="2:20" ht="13">
      <c r="B5" s="149" t="s">
        <v>576</v>
      </c>
      <c r="C5" s="14" t="b">
        <v>1</v>
      </c>
      <c r="D5" s="14" t="b">
        <v>1</v>
      </c>
      <c r="E5" s="157" t="s">
        <v>299</v>
      </c>
      <c r="F5" s="14"/>
      <c r="G5" s="149" t="s">
        <v>577</v>
      </c>
      <c r="H5" s="14" t="b">
        <v>1</v>
      </c>
      <c r="I5" s="14" t="b">
        <v>1</v>
      </c>
      <c r="J5" s="156" t="s">
        <v>578</v>
      </c>
      <c r="K5" s="14"/>
      <c r="L5" s="10" t="s">
        <v>579</v>
      </c>
      <c r="M5" s="14" t="b">
        <v>0</v>
      </c>
      <c r="N5" s="14" t="b">
        <v>0</v>
      </c>
      <c r="O5" s="113" t="s">
        <v>115</v>
      </c>
      <c r="R5" s="10" t="s">
        <v>580</v>
      </c>
      <c r="S5">
        <f>COUNTIF(H30:H41, "TRUE")</f>
        <v>11</v>
      </c>
      <c r="T5" s="12">
        <f>COUNTIF(I30:I41, "TRUE")</f>
        <v>9</v>
      </c>
    </row>
    <row r="6" spans="2:20" ht="13">
      <c r="B6" s="149" t="s">
        <v>581</v>
      </c>
      <c r="C6" s="14" t="b">
        <v>1</v>
      </c>
      <c r="D6" s="14" t="b">
        <v>1</v>
      </c>
      <c r="E6" s="151" t="s">
        <v>582</v>
      </c>
      <c r="F6" s="14"/>
      <c r="G6" s="149" t="s">
        <v>583</v>
      </c>
      <c r="H6" s="14" t="b">
        <v>1</v>
      </c>
      <c r="I6" s="14" t="b">
        <v>0</v>
      </c>
      <c r="J6" s="156" t="s">
        <v>584</v>
      </c>
      <c r="K6" s="14"/>
      <c r="L6" s="149" t="s">
        <v>585</v>
      </c>
      <c r="M6" s="14" t="b">
        <v>0</v>
      </c>
      <c r="N6" s="14" t="b">
        <v>0</v>
      </c>
      <c r="O6" s="208" t="s">
        <v>586</v>
      </c>
      <c r="R6" s="10" t="s">
        <v>567</v>
      </c>
      <c r="S6">
        <f t="shared" ref="S6:T6" si="0">COUNTIF(M3:M31, "TRUE")</f>
        <v>4</v>
      </c>
      <c r="T6" s="12">
        <f t="shared" si="0"/>
        <v>4</v>
      </c>
    </row>
    <row r="7" spans="2:20" ht="13">
      <c r="B7" s="149" t="s">
        <v>587</v>
      </c>
      <c r="C7" s="14" t="b">
        <v>1</v>
      </c>
      <c r="D7" s="14" t="b">
        <v>1</v>
      </c>
      <c r="E7" s="156" t="s">
        <v>588</v>
      </c>
      <c r="F7" s="14"/>
      <c r="G7" s="149" t="s">
        <v>589</v>
      </c>
      <c r="H7" s="14" t="b">
        <v>1</v>
      </c>
      <c r="I7" s="14" t="b">
        <v>0</v>
      </c>
      <c r="J7" s="156" t="s">
        <v>590</v>
      </c>
      <c r="K7" s="14"/>
      <c r="L7" s="10" t="s">
        <v>591</v>
      </c>
      <c r="M7" s="14" t="b">
        <v>0</v>
      </c>
      <c r="N7" s="14" t="b">
        <v>0</v>
      </c>
      <c r="O7" s="113" t="s">
        <v>115</v>
      </c>
      <c r="R7" s="10" t="s">
        <v>346</v>
      </c>
      <c r="S7">
        <f t="shared" ref="S7:T7" si="1">COUNTIF(M34:M35, "TRUE")</f>
        <v>2</v>
      </c>
      <c r="T7" s="12">
        <f t="shared" si="1"/>
        <v>2</v>
      </c>
    </row>
    <row r="8" spans="2:20" ht="13">
      <c r="B8" s="149" t="s">
        <v>592</v>
      </c>
      <c r="C8" s="14" t="b">
        <v>0</v>
      </c>
      <c r="D8" s="14" t="b">
        <v>0</v>
      </c>
      <c r="E8" s="209" t="s">
        <v>551</v>
      </c>
      <c r="F8" s="14"/>
      <c r="G8" s="149" t="s">
        <v>593</v>
      </c>
      <c r="H8" s="14" t="b">
        <v>1</v>
      </c>
      <c r="I8" s="14" t="b">
        <v>1</v>
      </c>
      <c r="J8" s="152" t="s">
        <v>305</v>
      </c>
      <c r="K8" s="14"/>
      <c r="L8" s="10" t="s">
        <v>594</v>
      </c>
      <c r="M8" s="14" t="b">
        <v>0</v>
      </c>
      <c r="N8" s="14" t="b">
        <v>0</v>
      </c>
      <c r="O8" s="208" t="s">
        <v>595</v>
      </c>
      <c r="R8" s="10" t="s">
        <v>596</v>
      </c>
      <c r="S8">
        <f t="shared" ref="S8:T8" si="2">COUNTIF(M38:M43, "TRUE")</f>
        <v>0</v>
      </c>
      <c r="T8" s="12">
        <f t="shared" si="2"/>
        <v>0</v>
      </c>
    </row>
    <row r="9" spans="2:20" ht="13">
      <c r="B9" s="149" t="s">
        <v>597</v>
      </c>
      <c r="C9" s="14" t="b">
        <v>1</v>
      </c>
      <c r="D9" s="14" t="b">
        <v>1</v>
      </c>
      <c r="E9" s="152" t="s">
        <v>305</v>
      </c>
      <c r="F9" s="14"/>
      <c r="G9" s="149" t="s">
        <v>598</v>
      </c>
      <c r="H9" s="14" t="b">
        <v>1</v>
      </c>
      <c r="I9" s="14" t="b">
        <v>1</v>
      </c>
      <c r="J9" s="156" t="s">
        <v>599</v>
      </c>
      <c r="K9" s="14"/>
      <c r="L9" s="10" t="s">
        <v>600</v>
      </c>
      <c r="M9" s="14" t="b">
        <v>0</v>
      </c>
      <c r="N9" s="14" t="b">
        <v>0</v>
      </c>
      <c r="O9" s="208" t="s">
        <v>601</v>
      </c>
      <c r="R9" s="10" t="s">
        <v>352</v>
      </c>
      <c r="S9">
        <f>COUNTIF(M46:M55, "TRUE")</f>
        <v>1</v>
      </c>
      <c r="T9" s="12">
        <f>SUM(COUNTIF(N46, "TRUE"),COUNTIF(N48, "TRUE"),COUNTIF(N50, "TRUE"),COUNTIF(N52, "TRUE"),COUNTIF(N54, "TRUE"))</f>
        <v>1</v>
      </c>
    </row>
    <row r="10" spans="2:20" ht="13">
      <c r="B10" s="149" t="s">
        <v>602</v>
      </c>
      <c r="C10" s="14" t="b">
        <v>1</v>
      </c>
      <c r="D10" s="14" t="b">
        <v>1</v>
      </c>
      <c r="E10" s="156" t="s">
        <v>603</v>
      </c>
      <c r="F10" s="14"/>
      <c r="G10" s="149" t="s">
        <v>604</v>
      </c>
      <c r="H10" s="14" t="b">
        <v>1</v>
      </c>
      <c r="I10" s="14" t="b">
        <v>1</v>
      </c>
      <c r="J10" s="156" t="s">
        <v>605</v>
      </c>
      <c r="K10" s="14"/>
      <c r="L10" s="10" t="s">
        <v>606</v>
      </c>
      <c r="M10" s="14" t="b">
        <v>0</v>
      </c>
      <c r="N10" s="14" t="b">
        <v>0</v>
      </c>
      <c r="O10" s="113" t="s">
        <v>115</v>
      </c>
      <c r="R10" s="112" t="s">
        <v>358</v>
      </c>
      <c r="S10" s="89">
        <f>COUNTIF(M59:M68, "TRUE")</f>
        <v>2</v>
      </c>
      <c r="T10" s="165">
        <f>SUM(COUNTIF(N59, "TRUE"),COUNTIF(N61, "TRUE"),COUNTIF(N63, "TRUE"),COUNTIF(N65, "TRUE"),COUNTIF(N67, "TRUE"))</f>
        <v>2</v>
      </c>
    </row>
    <row r="11" spans="2:20" ht="13">
      <c r="B11" s="149" t="s">
        <v>607</v>
      </c>
      <c r="C11" s="14" t="b">
        <v>0</v>
      </c>
      <c r="D11" s="14" t="b">
        <v>0</v>
      </c>
      <c r="E11" s="145" t="s">
        <v>608</v>
      </c>
      <c r="F11" s="14"/>
      <c r="G11" s="149" t="s">
        <v>609</v>
      </c>
      <c r="H11" s="14" t="b">
        <v>1</v>
      </c>
      <c r="I11" s="14" t="b">
        <v>0</v>
      </c>
      <c r="J11" s="156" t="s">
        <v>610</v>
      </c>
      <c r="K11" s="14"/>
      <c r="L11" s="10" t="s">
        <v>611</v>
      </c>
      <c r="M11" s="14" t="b">
        <v>0</v>
      </c>
      <c r="N11" s="14" t="b">
        <v>0</v>
      </c>
      <c r="O11" s="113" t="s">
        <v>115</v>
      </c>
      <c r="R11" s="112" t="s">
        <v>361</v>
      </c>
      <c r="S11" s="89">
        <f>COUNTIF(H44:H51, "TRUE")</f>
        <v>1</v>
      </c>
      <c r="T11" s="165">
        <f>SUM(COUNTIF(I44, "TRUE"),COUNTIF(I46, "TRUE"),COUNTIF(I48, "TRUE"),COUNTIF(I50, "TRUE"))</f>
        <v>1</v>
      </c>
    </row>
    <row r="12" spans="2:20" ht="13">
      <c r="B12" s="149" t="s">
        <v>612</v>
      </c>
      <c r="C12" s="14" t="b">
        <v>1</v>
      </c>
      <c r="D12" s="14" t="b">
        <v>1</v>
      </c>
      <c r="E12" s="156" t="s">
        <v>613</v>
      </c>
      <c r="F12" s="14"/>
      <c r="G12" s="149" t="s">
        <v>614</v>
      </c>
      <c r="H12" s="14" t="b">
        <v>1</v>
      </c>
      <c r="I12" s="14" t="b">
        <v>1</v>
      </c>
      <c r="J12" s="210" t="s">
        <v>615</v>
      </c>
      <c r="K12" s="14"/>
      <c r="L12" s="149" t="s">
        <v>616</v>
      </c>
      <c r="M12" s="14" t="b">
        <v>0</v>
      </c>
      <c r="N12" s="14" t="b">
        <v>0</v>
      </c>
      <c r="O12" s="208" t="s">
        <v>617</v>
      </c>
      <c r="R12" s="119" t="s">
        <v>55</v>
      </c>
      <c r="S12" s="120">
        <f t="shared" ref="S12:T12" si="3">SUM(S3:S11)</f>
        <v>93</v>
      </c>
      <c r="T12" s="120">
        <f t="shared" si="3"/>
        <v>75</v>
      </c>
    </row>
    <row r="13" spans="2:20" ht="13">
      <c r="B13" s="149" t="s">
        <v>618</v>
      </c>
      <c r="C13" s="14" t="b">
        <v>0</v>
      </c>
      <c r="D13" s="14" t="b">
        <v>0</v>
      </c>
      <c r="E13" s="154" t="s">
        <v>351</v>
      </c>
      <c r="F13" s="14"/>
      <c r="G13" s="149" t="s">
        <v>619</v>
      </c>
      <c r="H13" s="14" t="b">
        <v>1</v>
      </c>
      <c r="I13" s="14" t="b">
        <v>0</v>
      </c>
      <c r="J13" s="156" t="s">
        <v>620</v>
      </c>
      <c r="K13" s="14"/>
      <c r="L13" s="149" t="s">
        <v>621</v>
      </c>
      <c r="M13" s="14" t="b">
        <v>0</v>
      </c>
      <c r="N13" s="14" t="b">
        <v>0</v>
      </c>
      <c r="O13" s="113" t="s">
        <v>115</v>
      </c>
      <c r="R13" s="123" t="s">
        <v>622</v>
      </c>
      <c r="S13" s="124"/>
      <c r="T13" s="125">
        <f>COUNTA(D3:D65,I30:I41,I3:I27,N3:N31,N34:N35,N38:N43, N46,N48,N50,N52,N54,N59,N61,N63,N65,N67,I44,I46,I48,I50)</f>
        <v>151</v>
      </c>
    </row>
    <row r="14" spans="2:20" ht="13">
      <c r="B14" s="149" t="s">
        <v>623</v>
      </c>
      <c r="C14" s="14" t="b">
        <v>1</v>
      </c>
      <c r="D14" s="14" t="b">
        <v>1</v>
      </c>
      <c r="E14" s="156" t="s">
        <v>624</v>
      </c>
      <c r="F14" s="14"/>
      <c r="G14" s="149" t="s">
        <v>625</v>
      </c>
      <c r="H14" s="14" t="b">
        <v>1</v>
      </c>
      <c r="I14" s="14" t="b">
        <v>1</v>
      </c>
      <c r="J14" s="152" t="s">
        <v>305</v>
      </c>
      <c r="K14" s="14"/>
      <c r="L14" s="149" t="s">
        <v>626</v>
      </c>
      <c r="M14" s="14" t="b">
        <v>0</v>
      </c>
      <c r="N14" s="14" t="b">
        <v>0</v>
      </c>
      <c r="O14" s="208" t="s">
        <v>627</v>
      </c>
      <c r="R14" s="123" t="s">
        <v>628</v>
      </c>
      <c r="S14" s="124"/>
      <c r="T14" s="125">
        <f>SUM(COUNTIF(N47, "TRUE"),COUNTIF(N49, "TRUE"),COUNTIF(N51, "TRUE"),COUNTIF(N53, "TRUE"),COUNTIF(N55, "TRUE"),COUNTIF(N60, "TRUE"),COUNTIF(N62, "TRUE"),COUNTIF(N64, "TRUE"),COUNTIF(N66, "TRUE"),COUNTIF(N68, "TRUE"),COUNTIF(I45, "TRUE"),COUNTIF(I47, "TRUE"),COUNTIF(I49, "TRUE"),COUNTIF(I51, "TRUE"))</f>
        <v>3</v>
      </c>
    </row>
    <row r="15" spans="2:20" ht="12.5">
      <c r="B15" s="149" t="s">
        <v>629</v>
      </c>
      <c r="C15" s="14" t="b">
        <v>1</v>
      </c>
      <c r="D15" s="14" t="b">
        <v>1</v>
      </c>
      <c r="E15" s="157" t="s">
        <v>299</v>
      </c>
      <c r="F15" s="14"/>
      <c r="G15" s="10" t="s">
        <v>630</v>
      </c>
      <c r="H15" s="14" t="b">
        <v>1</v>
      </c>
      <c r="I15" s="14" t="b">
        <v>1</v>
      </c>
      <c r="J15" s="168" t="s">
        <v>388</v>
      </c>
      <c r="K15" s="14"/>
      <c r="L15" s="149" t="s">
        <v>631</v>
      </c>
      <c r="M15" s="14" t="b">
        <v>1</v>
      </c>
      <c r="N15" s="14" t="b">
        <v>1</v>
      </c>
      <c r="O15" s="113" t="s">
        <v>115</v>
      </c>
      <c r="R15" s="13" t="s">
        <v>632</v>
      </c>
      <c r="T15">
        <f>SUMPRODUCT((H44:H50=TRUE)*(I45:I51=FALSE)) + SUMPRODUCT((M46:M54=TRUE)*(N47:N55=FALSE)) + SUMPRODUCT((M59:M67=TRUE)*(N60:N68=FALSE))</f>
        <v>1</v>
      </c>
    </row>
    <row r="16" spans="2:20" ht="13">
      <c r="B16" s="149" t="s">
        <v>633</v>
      </c>
      <c r="C16" s="14" t="b">
        <v>1</v>
      </c>
      <c r="D16" s="14" t="b">
        <v>1</v>
      </c>
      <c r="E16" s="157" t="s">
        <v>299</v>
      </c>
      <c r="F16" s="14"/>
      <c r="G16" s="149" t="s">
        <v>634</v>
      </c>
      <c r="H16" s="14" t="b">
        <v>1</v>
      </c>
      <c r="I16" s="14" t="b">
        <v>1</v>
      </c>
      <c r="J16" s="210" t="s">
        <v>635</v>
      </c>
      <c r="K16" s="14"/>
      <c r="L16" s="149" t="s">
        <v>636</v>
      </c>
      <c r="M16" s="14" t="b">
        <v>0</v>
      </c>
      <c r="N16" s="14" t="b">
        <v>0</v>
      </c>
      <c r="O16" s="113" t="s">
        <v>115</v>
      </c>
    </row>
    <row r="17" spans="2:15" ht="12.5">
      <c r="B17" s="149" t="s">
        <v>637</v>
      </c>
      <c r="C17" s="14" t="b">
        <v>0</v>
      </c>
      <c r="D17" s="14" t="b">
        <v>0</v>
      </c>
      <c r="E17" s="145" t="s">
        <v>638</v>
      </c>
      <c r="F17" s="14"/>
      <c r="G17" s="149" t="s">
        <v>639</v>
      </c>
      <c r="H17" s="14" t="b">
        <v>1</v>
      </c>
      <c r="I17" s="14" t="b">
        <v>1</v>
      </c>
      <c r="J17" s="154" t="s">
        <v>351</v>
      </c>
      <c r="K17" s="14"/>
      <c r="L17" s="10" t="s">
        <v>640</v>
      </c>
      <c r="M17" s="14" t="b">
        <v>0</v>
      </c>
      <c r="N17" s="14" t="b">
        <v>0</v>
      </c>
      <c r="O17" s="113" t="s">
        <v>207</v>
      </c>
    </row>
    <row r="18" spans="2:15" ht="12.5">
      <c r="B18" s="10" t="s">
        <v>641</v>
      </c>
      <c r="C18" s="14" t="b">
        <v>1</v>
      </c>
      <c r="D18" s="14" t="b">
        <v>0</v>
      </c>
      <c r="E18" s="155" t="s">
        <v>331</v>
      </c>
      <c r="F18" s="14"/>
      <c r="G18" s="10" t="s">
        <v>642</v>
      </c>
      <c r="H18" s="14" t="b">
        <v>0</v>
      </c>
      <c r="I18" s="14" t="b">
        <v>0</v>
      </c>
      <c r="J18" s="211" t="s">
        <v>406</v>
      </c>
      <c r="K18" s="14"/>
      <c r="L18" s="149" t="s">
        <v>643</v>
      </c>
      <c r="M18" s="14" t="b">
        <v>0</v>
      </c>
      <c r="N18" s="14" t="b">
        <v>0</v>
      </c>
      <c r="O18" s="113" t="s">
        <v>115</v>
      </c>
    </row>
    <row r="19" spans="2:15" ht="12.5">
      <c r="B19" s="149" t="s">
        <v>644</v>
      </c>
      <c r="C19" s="14" t="b">
        <v>0</v>
      </c>
      <c r="D19" s="14" t="b">
        <v>0</v>
      </c>
      <c r="E19" s="154" t="s">
        <v>351</v>
      </c>
      <c r="F19" s="14"/>
      <c r="G19" s="10" t="s">
        <v>645</v>
      </c>
      <c r="H19" s="14" t="b">
        <v>0</v>
      </c>
      <c r="I19" s="14" t="b">
        <v>0</v>
      </c>
      <c r="J19" s="155" t="s">
        <v>329</v>
      </c>
      <c r="K19" s="14"/>
      <c r="L19" s="149" t="s">
        <v>646</v>
      </c>
      <c r="M19" s="14" t="b">
        <v>1</v>
      </c>
      <c r="N19" s="14" t="b">
        <v>1</v>
      </c>
      <c r="O19" s="113" t="s">
        <v>115</v>
      </c>
    </row>
    <row r="20" spans="2:15" ht="12.5">
      <c r="B20" s="10" t="s">
        <v>647</v>
      </c>
      <c r="C20" s="14" t="b">
        <v>0</v>
      </c>
      <c r="D20" s="14" t="b">
        <v>0</v>
      </c>
      <c r="E20" s="168" t="s">
        <v>648</v>
      </c>
      <c r="F20" s="14"/>
      <c r="G20" s="149" t="s">
        <v>649</v>
      </c>
      <c r="H20" s="14" t="b">
        <v>1</v>
      </c>
      <c r="I20" s="14" t="b">
        <v>1</v>
      </c>
      <c r="J20" s="157" t="s">
        <v>299</v>
      </c>
      <c r="K20" s="14"/>
      <c r="L20" s="149" t="s">
        <v>650</v>
      </c>
      <c r="M20" s="14" t="b">
        <v>0</v>
      </c>
      <c r="N20" s="14" t="b">
        <v>0</v>
      </c>
      <c r="O20" s="113" t="s">
        <v>115</v>
      </c>
    </row>
    <row r="21" spans="2:15" ht="13">
      <c r="B21" s="149" t="s">
        <v>651</v>
      </c>
      <c r="C21" s="14" t="b">
        <v>1</v>
      </c>
      <c r="D21" s="14" t="b">
        <v>1</v>
      </c>
      <c r="E21" s="156" t="s">
        <v>652</v>
      </c>
      <c r="F21" s="14"/>
      <c r="G21" s="10" t="s">
        <v>653</v>
      </c>
      <c r="H21" s="14" t="b">
        <v>1</v>
      </c>
      <c r="I21" s="14" t="b">
        <v>0</v>
      </c>
      <c r="J21" s="155" t="s">
        <v>531</v>
      </c>
      <c r="K21" s="14"/>
      <c r="L21" s="149" t="s">
        <v>654</v>
      </c>
      <c r="M21" s="14" t="b">
        <v>0</v>
      </c>
      <c r="N21" s="14" t="b">
        <v>0</v>
      </c>
      <c r="O21" s="208" t="s">
        <v>655</v>
      </c>
    </row>
    <row r="22" spans="2:15" ht="13">
      <c r="B22" s="149" t="s">
        <v>656</v>
      </c>
      <c r="C22" s="14" t="b">
        <v>1</v>
      </c>
      <c r="D22" s="14" t="b">
        <v>1</v>
      </c>
      <c r="E22" s="156" t="s">
        <v>657</v>
      </c>
      <c r="F22" s="14"/>
      <c r="G22" s="149" t="s">
        <v>658</v>
      </c>
      <c r="H22" s="14" t="b">
        <v>1</v>
      </c>
      <c r="I22" s="14" t="b">
        <v>0</v>
      </c>
      <c r="J22" s="156" t="s">
        <v>659</v>
      </c>
      <c r="K22" s="14"/>
      <c r="L22" s="10" t="s">
        <v>660</v>
      </c>
      <c r="M22" s="14" t="b">
        <v>0</v>
      </c>
      <c r="N22" s="14" t="b">
        <v>0</v>
      </c>
      <c r="O22" s="208" t="s">
        <v>661</v>
      </c>
    </row>
    <row r="23" spans="2:15" ht="12.5">
      <c r="B23" s="149" t="s">
        <v>662</v>
      </c>
      <c r="C23" s="14" t="b">
        <v>1</v>
      </c>
      <c r="D23" s="14" t="b">
        <v>1</v>
      </c>
      <c r="E23" s="180" t="s">
        <v>663</v>
      </c>
      <c r="F23" s="14"/>
      <c r="G23" s="149" t="s">
        <v>664</v>
      </c>
      <c r="H23" s="14" t="b">
        <v>1</v>
      </c>
      <c r="I23" s="14" t="b">
        <v>1</v>
      </c>
      <c r="J23" s="145" t="s">
        <v>665</v>
      </c>
      <c r="K23" s="14"/>
      <c r="L23" s="10" t="s">
        <v>666</v>
      </c>
      <c r="M23" s="14" t="b">
        <v>0</v>
      </c>
      <c r="N23" s="14" t="b">
        <v>0</v>
      </c>
      <c r="O23" s="113" t="s">
        <v>115</v>
      </c>
    </row>
    <row r="24" spans="2:15" ht="13">
      <c r="B24" s="149" t="s">
        <v>667</v>
      </c>
      <c r="C24" s="14" t="b">
        <v>1</v>
      </c>
      <c r="D24" s="14" t="b">
        <v>1</v>
      </c>
      <c r="E24" s="156" t="s">
        <v>668</v>
      </c>
      <c r="F24" s="14"/>
      <c r="G24" s="149" t="s">
        <v>669</v>
      </c>
      <c r="H24" s="14" t="b">
        <v>1</v>
      </c>
      <c r="I24" s="14" t="b">
        <v>0</v>
      </c>
      <c r="J24" s="153" t="s">
        <v>670</v>
      </c>
      <c r="K24" s="14"/>
      <c r="L24" s="10" t="s">
        <v>671</v>
      </c>
      <c r="M24" s="14" t="b">
        <v>1</v>
      </c>
      <c r="N24" s="14" t="b">
        <v>1</v>
      </c>
      <c r="O24" s="113" t="s">
        <v>115</v>
      </c>
    </row>
    <row r="25" spans="2:15" ht="12.5">
      <c r="B25" s="149" t="s">
        <v>672</v>
      </c>
      <c r="C25" s="14" t="b">
        <v>1</v>
      </c>
      <c r="D25" s="14" t="b">
        <v>1</v>
      </c>
      <c r="E25" s="152" t="s">
        <v>305</v>
      </c>
      <c r="F25" s="14"/>
      <c r="G25" s="149" t="s">
        <v>673</v>
      </c>
      <c r="H25" s="14" t="b">
        <v>1</v>
      </c>
      <c r="I25" s="14" t="b">
        <v>1</v>
      </c>
      <c r="J25" s="152" t="s">
        <v>305</v>
      </c>
      <c r="K25" s="14"/>
      <c r="L25" s="10" t="s">
        <v>674</v>
      </c>
      <c r="M25" s="14" t="b">
        <v>0</v>
      </c>
      <c r="N25" s="14" t="b">
        <v>0</v>
      </c>
      <c r="O25" s="126" t="s">
        <v>675</v>
      </c>
    </row>
    <row r="26" spans="2:15" ht="13">
      <c r="B26" s="149" t="s">
        <v>676</v>
      </c>
      <c r="C26" s="14" t="b">
        <v>1</v>
      </c>
      <c r="D26" s="14" t="b">
        <v>1</v>
      </c>
      <c r="E26" s="210" t="s">
        <v>677</v>
      </c>
      <c r="F26" s="14"/>
      <c r="G26" s="149" t="s">
        <v>678</v>
      </c>
      <c r="H26" s="14" t="b">
        <v>1</v>
      </c>
      <c r="I26" s="14" t="b">
        <v>0</v>
      </c>
      <c r="J26" s="156" t="s">
        <v>679</v>
      </c>
      <c r="K26" s="14"/>
      <c r="L26" s="10" t="s">
        <v>680</v>
      </c>
      <c r="M26" s="14" t="b">
        <v>1</v>
      </c>
      <c r="N26" s="14" t="b">
        <v>1</v>
      </c>
      <c r="O26" s="113" t="s">
        <v>115</v>
      </c>
    </row>
    <row r="27" spans="2:15" ht="12.5">
      <c r="B27" s="149" t="s">
        <v>681</v>
      </c>
      <c r="C27" s="14" t="b">
        <v>0</v>
      </c>
      <c r="D27" s="14" t="b">
        <v>0</v>
      </c>
      <c r="E27" s="159" t="s">
        <v>682</v>
      </c>
      <c r="F27" s="14"/>
      <c r="G27" s="15" t="s">
        <v>683</v>
      </c>
      <c r="H27" s="16" t="b">
        <v>0</v>
      </c>
      <c r="I27" s="16" t="b">
        <v>0</v>
      </c>
      <c r="J27" s="212" t="s">
        <v>384</v>
      </c>
      <c r="K27" s="14"/>
      <c r="L27" s="10" t="s">
        <v>684</v>
      </c>
      <c r="M27" s="14" t="b">
        <v>0</v>
      </c>
      <c r="N27" s="14" t="b">
        <v>0</v>
      </c>
      <c r="O27" s="113" t="s">
        <v>115</v>
      </c>
    </row>
    <row r="28" spans="2:15" ht="13">
      <c r="B28" s="149" t="s">
        <v>685</v>
      </c>
      <c r="C28" s="14" t="b">
        <v>1</v>
      </c>
      <c r="D28" s="14" t="b">
        <v>1</v>
      </c>
      <c r="E28" s="156" t="s">
        <v>686</v>
      </c>
      <c r="F28" s="14"/>
      <c r="K28" s="14"/>
      <c r="L28" s="10" t="s">
        <v>687</v>
      </c>
      <c r="M28" s="14" t="b">
        <v>0</v>
      </c>
      <c r="N28" s="14" t="b">
        <v>0</v>
      </c>
      <c r="O28" s="208" t="s">
        <v>688</v>
      </c>
    </row>
    <row r="29" spans="2:15" ht="13">
      <c r="B29" s="149" t="s">
        <v>689</v>
      </c>
      <c r="C29" s="14" t="b">
        <v>1</v>
      </c>
      <c r="D29" s="14" t="b">
        <v>0</v>
      </c>
      <c r="E29" s="156" t="s">
        <v>690</v>
      </c>
      <c r="F29" s="14"/>
      <c r="G29" s="100" t="s">
        <v>580</v>
      </c>
      <c r="H29" s="101" t="s">
        <v>86</v>
      </c>
      <c r="I29" s="101" t="s">
        <v>87</v>
      </c>
      <c r="J29" s="101" t="s">
        <v>110</v>
      </c>
      <c r="K29" s="14"/>
      <c r="L29" s="10" t="s">
        <v>691</v>
      </c>
      <c r="M29" s="14" t="b">
        <v>0</v>
      </c>
      <c r="N29" s="14" t="b">
        <v>0</v>
      </c>
      <c r="O29" s="113" t="s">
        <v>115</v>
      </c>
    </row>
    <row r="30" spans="2:15" ht="12.5">
      <c r="B30" s="149" t="s">
        <v>692</v>
      </c>
      <c r="C30" s="14" t="b">
        <v>1</v>
      </c>
      <c r="D30" s="14" t="b">
        <v>1</v>
      </c>
      <c r="E30" s="159" t="s">
        <v>693</v>
      </c>
      <c r="F30" s="14"/>
      <c r="G30" s="146" t="s">
        <v>694</v>
      </c>
      <c r="H30" s="147" t="b">
        <v>1</v>
      </c>
      <c r="I30" s="147" t="b">
        <v>0</v>
      </c>
      <c r="J30" s="213" t="s">
        <v>506</v>
      </c>
      <c r="K30" s="14"/>
      <c r="L30" s="10" t="s">
        <v>695</v>
      </c>
      <c r="M30" s="14" t="b">
        <v>0</v>
      </c>
      <c r="N30" s="14" t="b">
        <v>0</v>
      </c>
      <c r="O30" s="113" t="s">
        <v>115</v>
      </c>
    </row>
    <row r="31" spans="2:15" ht="13">
      <c r="B31" s="149" t="s">
        <v>696</v>
      </c>
      <c r="C31" s="14" t="b">
        <v>1</v>
      </c>
      <c r="D31" s="14" t="b">
        <v>1</v>
      </c>
      <c r="E31" s="156" t="s">
        <v>697</v>
      </c>
      <c r="F31" s="14"/>
      <c r="G31" s="149" t="s">
        <v>698</v>
      </c>
      <c r="H31" s="14" t="b">
        <v>1</v>
      </c>
      <c r="I31" s="14" t="b">
        <v>1</v>
      </c>
      <c r="J31" s="151" t="s">
        <v>466</v>
      </c>
      <c r="K31" s="14"/>
      <c r="L31" s="15" t="s">
        <v>699</v>
      </c>
      <c r="M31" s="163" t="b">
        <v>0</v>
      </c>
      <c r="N31" s="163" t="b">
        <v>0</v>
      </c>
      <c r="O31" s="181" t="s">
        <v>115</v>
      </c>
    </row>
    <row r="32" spans="2:15" ht="12.5">
      <c r="B32" s="149" t="s">
        <v>700</v>
      </c>
      <c r="C32" s="14" t="b">
        <v>0</v>
      </c>
      <c r="D32" s="14" t="b">
        <v>0</v>
      </c>
      <c r="E32" s="151" t="s">
        <v>363</v>
      </c>
      <c r="F32" s="14"/>
      <c r="G32" s="149" t="s">
        <v>701</v>
      </c>
      <c r="H32" s="14" t="b">
        <v>1</v>
      </c>
      <c r="I32" s="14" t="b">
        <v>1</v>
      </c>
      <c r="J32" s="157" t="s">
        <v>348</v>
      </c>
      <c r="K32" s="14"/>
    </row>
    <row r="33" spans="2:19" ht="13">
      <c r="B33" s="149" t="s">
        <v>702</v>
      </c>
      <c r="C33" s="14" t="b">
        <v>1</v>
      </c>
      <c r="D33" s="14" t="b">
        <v>1</v>
      </c>
      <c r="E33" s="156" t="s">
        <v>703</v>
      </c>
      <c r="F33" s="14"/>
      <c r="G33" s="149" t="s">
        <v>704</v>
      </c>
      <c r="H33" s="14" t="b">
        <v>1</v>
      </c>
      <c r="I33" s="14" t="b">
        <v>1</v>
      </c>
      <c r="J33" s="145" t="s">
        <v>462</v>
      </c>
      <c r="K33" s="14"/>
      <c r="L33" s="100" t="s">
        <v>346</v>
      </c>
      <c r="M33" s="101" t="s">
        <v>86</v>
      </c>
      <c r="N33" s="101" t="s">
        <v>87</v>
      </c>
      <c r="O33" s="102" t="s">
        <v>110</v>
      </c>
      <c r="P33" s="13"/>
      <c r="S33" s="214"/>
    </row>
    <row r="34" spans="2:19" ht="13">
      <c r="B34" s="149" t="s">
        <v>705</v>
      </c>
      <c r="C34" s="14" t="b">
        <v>1</v>
      </c>
      <c r="D34" s="14" t="b">
        <v>1</v>
      </c>
      <c r="E34" s="156" t="s">
        <v>706</v>
      </c>
      <c r="F34" s="14"/>
      <c r="G34" s="149" t="s">
        <v>707</v>
      </c>
      <c r="H34" s="14" t="b">
        <v>1</v>
      </c>
      <c r="I34" s="14" t="b">
        <v>1</v>
      </c>
      <c r="J34" s="152" t="s">
        <v>305</v>
      </c>
      <c r="K34" s="14"/>
      <c r="L34" s="146" t="s">
        <v>708</v>
      </c>
      <c r="M34" s="147" t="b">
        <v>1</v>
      </c>
      <c r="N34" s="147" t="b">
        <v>1</v>
      </c>
      <c r="O34" s="111" t="s">
        <v>305</v>
      </c>
    </row>
    <row r="35" spans="2:19" ht="13">
      <c r="B35" s="149" t="s">
        <v>709</v>
      </c>
      <c r="C35" s="14" t="b">
        <v>0</v>
      </c>
      <c r="D35" s="14" t="b">
        <v>0</v>
      </c>
      <c r="E35" s="211" t="s">
        <v>406</v>
      </c>
      <c r="F35" s="14"/>
      <c r="G35" s="149" t="s">
        <v>710</v>
      </c>
      <c r="H35" s="14" t="b">
        <v>1</v>
      </c>
      <c r="I35" s="14" t="b">
        <v>1</v>
      </c>
      <c r="J35" s="156" t="s">
        <v>711</v>
      </c>
      <c r="K35" s="14"/>
      <c r="L35" s="162" t="s">
        <v>712</v>
      </c>
      <c r="M35" s="163" t="b">
        <v>1</v>
      </c>
      <c r="N35" s="163" t="b">
        <v>1</v>
      </c>
      <c r="O35" s="185" t="s">
        <v>305</v>
      </c>
      <c r="S35" s="129" t="s">
        <v>344</v>
      </c>
    </row>
    <row r="36" spans="2:19" ht="13">
      <c r="B36" s="149" t="s">
        <v>713</v>
      </c>
      <c r="C36" s="14" t="b">
        <v>1</v>
      </c>
      <c r="D36" s="14" t="b">
        <v>1</v>
      </c>
      <c r="E36" s="154" t="s">
        <v>313</v>
      </c>
      <c r="F36" s="14"/>
      <c r="G36" s="149" t="s">
        <v>714</v>
      </c>
      <c r="H36" s="14" t="b">
        <v>1</v>
      </c>
      <c r="I36" s="14" t="b">
        <v>1</v>
      </c>
      <c r="J36" s="156" t="s">
        <v>715</v>
      </c>
      <c r="K36" s="14"/>
    </row>
    <row r="37" spans="2:19" ht="13">
      <c r="B37" s="149" t="s">
        <v>716</v>
      </c>
      <c r="C37" s="14" t="b">
        <v>1</v>
      </c>
      <c r="D37" s="14" t="b">
        <v>1</v>
      </c>
      <c r="E37" s="154" t="s">
        <v>313</v>
      </c>
      <c r="F37" s="14"/>
      <c r="G37" s="149" t="s">
        <v>717</v>
      </c>
      <c r="H37" s="14" t="b">
        <v>1</v>
      </c>
      <c r="I37" s="14" t="b">
        <v>1</v>
      </c>
      <c r="J37" s="154" t="s">
        <v>351</v>
      </c>
      <c r="K37" s="14"/>
      <c r="L37" s="100" t="s">
        <v>596</v>
      </c>
      <c r="M37" s="101" t="s">
        <v>86</v>
      </c>
      <c r="N37" s="101" t="s">
        <v>87</v>
      </c>
      <c r="O37" s="102" t="s">
        <v>110</v>
      </c>
    </row>
    <row r="38" spans="2:19" ht="12.5">
      <c r="B38" s="149" t="s">
        <v>718</v>
      </c>
      <c r="C38" s="14" t="b">
        <v>1</v>
      </c>
      <c r="D38" s="14" t="b">
        <v>1</v>
      </c>
      <c r="E38" s="154" t="s">
        <v>299</v>
      </c>
      <c r="F38" s="14"/>
      <c r="G38" s="10" t="s">
        <v>719</v>
      </c>
      <c r="H38" s="14" t="b">
        <v>0</v>
      </c>
      <c r="I38" s="14" t="b">
        <v>0</v>
      </c>
      <c r="J38" s="155" t="s">
        <v>372</v>
      </c>
      <c r="K38" s="14"/>
      <c r="L38" s="146" t="s">
        <v>720</v>
      </c>
      <c r="M38" s="147" t="b">
        <v>0</v>
      </c>
      <c r="N38" s="147" t="b">
        <v>0</v>
      </c>
      <c r="O38" s="215" t="s">
        <v>721</v>
      </c>
    </row>
    <row r="39" spans="2:19" ht="12.5">
      <c r="B39" s="149" t="s">
        <v>722</v>
      </c>
      <c r="C39" s="14" t="b">
        <v>1</v>
      </c>
      <c r="D39" s="14" t="b">
        <v>1</v>
      </c>
      <c r="E39" s="151" t="s">
        <v>723</v>
      </c>
      <c r="F39" s="14"/>
      <c r="G39" s="149" t="s">
        <v>724</v>
      </c>
      <c r="H39" s="14" t="b">
        <v>1</v>
      </c>
      <c r="I39" s="14" t="b">
        <v>0</v>
      </c>
      <c r="J39" s="151" t="s">
        <v>725</v>
      </c>
      <c r="K39" s="14"/>
      <c r="L39" s="149" t="s">
        <v>726</v>
      </c>
      <c r="M39" s="14" t="b">
        <v>0</v>
      </c>
      <c r="N39" s="14" t="b">
        <v>0</v>
      </c>
      <c r="O39" s="129" t="s">
        <v>721</v>
      </c>
    </row>
    <row r="40" spans="2:19" ht="12.5">
      <c r="B40" s="149" t="s">
        <v>727</v>
      </c>
      <c r="C40" s="14" t="b">
        <v>1</v>
      </c>
      <c r="D40" s="14" t="b">
        <v>0</v>
      </c>
      <c r="E40" s="152" t="s">
        <v>305</v>
      </c>
      <c r="F40" s="14"/>
      <c r="G40" s="149" t="s">
        <v>728</v>
      </c>
      <c r="H40" s="14" t="b">
        <v>1</v>
      </c>
      <c r="I40" s="14" t="b">
        <v>1</v>
      </c>
      <c r="J40" s="152" t="s">
        <v>305</v>
      </c>
      <c r="K40" s="14"/>
      <c r="L40" s="149" t="s">
        <v>729</v>
      </c>
      <c r="M40" s="14" t="b">
        <v>0</v>
      </c>
      <c r="N40" s="14" t="b">
        <v>0</v>
      </c>
      <c r="O40" s="129" t="s">
        <v>721</v>
      </c>
    </row>
    <row r="41" spans="2:19" ht="12.5">
      <c r="B41" s="149" t="s">
        <v>730</v>
      </c>
      <c r="C41" s="14" t="b">
        <v>1</v>
      </c>
      <c r="D41" s="14" t="b">
        <v>1</v>
      </c>
      <c r="E41" s="173" t="s">
        <v>305</v>
      </c>
      <c r="F41" s="14"/>
      <c r="G41" s="162" t="s">
        <v>731</v>
      </c>
      <c r="H41" s="163" t="b">
        <v>1</v>
      </c>
      <c r="I41" s="163" t="b">
        <v>1</v>
      </c>
      <c r="J41" s="191" t="s">
        <v>348</v>
      </c>
      <c r="K41" s="14"/>
      <c r="L41" s="149" t="s">
        <v>732</v>
      </c>
      <c r="M41" s="14" t="b">
        <v>0</v>
      </c>
      <c r="N41" s="14" t="b">
        <v>0</v>
      </c>
      <c r="O41" s="129" t="s">
        <v>318</v>
      </c>
    </row>
    <row r="42" spans="2:19" ht="12.5">
      <c r="B42" s="149" t="s">
        <v>733</v>
      </c>
      <c r="C42" s="14" t="b">
        <v>1</v>
      </c>
      <c r="D42" s="14" t="b">
        <v>1</v>
      </c>
      <c r="E42" s="211" t="s">
        <v>406</v>
      </c>
      <c r="F42" s="14"/>
      <c r="K42" s="14"/>
      <c r="L42" s="149" t="s">
        <v>734</v>
      </c>
      <c r="M42" s="14" t="b">
        <v>0</v>
      </c>
      <c r="N42" s="14" t="b">
        <v>0</v>
      </c>
      <c r="O42" s="129" t="s">
        <v>721</v>
      </c>
    </row>
    <row r="43" spans="2:19" ht="13">
      <c r="B43" s="149" t="s">
        <v>735</v>
      </c>
      <c r="C43" s="14" t="b">
        <v>1</v>
      </c>
      <c r="D43" s="14" t="b">
        <v>1</v>
      </c>
      <c r="E43" s="157" t="s">
        <v>348</v>
      </c>
      <c r="F43" s="14"/>
      <c r="G43" s="100" t="s">
        <v>361</v>
      </c>
      <c r="H43" s="101" t="s">
        <v>86</v>
      </c>
      <c r="I43" s="101" t="s">
        <v>87</v>
      </c>
      <c r="J43" s="102" t="s">
        <v>110</v>
      </c>
      <c r="K43" s="14"/>
      <c r="L43" s="162" t="s">
        <v>736</v>
      </c>
      <c r="M43" s="163" t="b">
        <v>0</v>
      </c>
      <c r="N43" s="163" t="b">
        <v>0</v>
      </c>
      <c r="O43" s="216" t="s">
        <v>318</v>
      </c>
    </row>
    <row r="44" spans="2:19" ht="12.5">
      <c r="B44" s="149" t="s">
        <v>737</v>
      </c>
      <c r="C44" s="14" t="b">
        <v>1</v>
      </c>
      <c r="D44" s="14" t="b">
        <v>1</v>
      </c>
      <c r="E44" s="152" t="s">
        <v>305</v>
      </c>
      <c r="F44" s="14"/>
      <c r="G44" s="146" t="s">
        <v>738</v>
      </c>
      <c r="H44" s="147" t="b">
        <v>0</v>
      </c>
      <c r="I44" s="147" t="b">
        <v>0</v>
      </c>
      <c r="J44" s="189" t="s">
        <v>533</v>
      </c>
      <c r="K44" s="14"/>
    </row>
    <row r="45" spans="2:19" ht="13">
      <c r="B45" s="149" t="s">
        <v>739</v>
      </c>
      <c r="C45" s="14" t="b">
        <v>1</v>
      </c>
      <c r="D45" s="14" t="b">
        <v>1</v>
      </c>
      <c r="E45" s="159" t="s">
        <v>493</v>
      </c>
      <c r="F45" s="14"/>
      <c r="G45" s="15" t="s">
        <v>515</v>
      </c>
      <c r="H45" s="16"/>
      <c r="I45" s="16" t="b">
        <v>0</v>
      </c>
      <c r="J45" s="190"/>
      <c r="K45" s="14"/>
      <c r="L45" s="100" t="s">
        <v>352</v>
      </c>
      <c r="M45" s="101" t="s">
        <v>86</v>
      </c>
      <c r="N45" s="101" t="s">
        <v>87</v>
      </c>
      <c r="O45" s="102" t="s">
        <v>110</v>
      </c>
    </row>
    <row r="46" spans="2:19" ht="12.5">
      <c r="B46" s="10" t="s">
        <v>740</v>
      </c>
      <c r="C46" s="14" t="b">
        <v>1</v>
      </c>
      <c r="D46" s="14" t="b">
        <v>1</v>
      </c>
      <c r="E46" s="155" t="s">
        <v>331</v>
      </c>
      <c r="F46" s="14"/>
      <c r="G46" s="149" t="s">
        <v>741</v>
      </c>
      <c r="H46" s="14" t="b">
        <v>1</v>
      </c>
      <c r="I46" s="14" t="b">
        <v>1</v>
      </c>
      <c r="J46" s="189" t="s">
        <v>533</v>
      </c>
      <c r="K46" s="14"/>
      <c r="L46" s="146" t="s">
        <v>742</v>
      </c>
      <c r="M46" s="147" t="b">
        <v>0</v>
      </c>
      <c r="N46" s="147" t="b">
        <v>0</v>
      </c>
      <c r="O46" s="189" t="s">
        <v>511</v>
      </c>
    </row>
    <row r="47" spans="2:19" ht="12.5">
      <c r="B47" s="149" t="s">
        <v>743</v>
      </c>
      <c r="C47" s="14" t="b">
        <v>1</v>
      </c>
      <c r="D47" s="14" t="b">
        <v>0</v>
      </c>
      <c r="E47" s="145" t="s">
        <v>744</v>
      </c>
      <c r="F47" s="14"/>
      <c r="G47" s="15" t="s">
        <v>515</v>
      </c>
      <c r="H47" s="16"/>
      <c r="I47" s="16" t="b">
        <v>1</v>
      </c>
      <c r="J47" s="190"/>
      <c r="K47" s="14"/>
      <c r="L47" s="15" t="s">
        <v>515</v>
      </c>
      <c r="M47" s="16"/>
      <c r="N47" s="16" t="b">
        <v>0</v>
      </c>
      <c r="O47" s="190"/>
    </row>
    <row r="48" spans="2:19" ht="12.5">
      <c r="B48" s="149" t="s">
        <v>745</v>
      </c>
      <c r="C48" s="14" t="b">
        <v>1</v>
      </c>
      <c r="D48" s="14" t="b">
        <v>0</v>
      </c>
      <c r="E48" s="159" t="s">
        <v>318</v>
      </c>
      <c r="F48" s="14"/>
      <c r="G48" s="146" t="s">
        <v>746</v>
      </c>
      <c r="H48" s="147" t="b">
        <v>0</v>
      </c>
      <c r="I48" s="147" t="b">
        <v>0</v>
      </c>
      <c r="J48" s="189" t="s">
        <v>533</v>
      </c>
      <c r="K48" s="14"/>
      <c r="L48" s="149" t="s">
        <v>747</v>
      </c>
      <c r="M48" s="14" t="b">
        <v>0</v>
      </c>
      <c r="N48" s="14" t="b">
        <v>0</v>
      </c>
      <c r="O48" s="192" t="s">
        <v>511</v>
      </c>
    </row>
    <row r="49" spans="2:15" ht="12.5">
      <c r="B49" s="149" t="s">
        <v>748</v>
      </c>
      <c r="C49" s="14" t="b">
        <v>1</v>
      </c>
      <c r="D49" s="14" t="b">
        <v>1</v>
      </c>
      <c r="E49" s="152" t="s">
        <v>305</v>
      </c>
      <c r="F49" s="14"/>
      <c r="G49" s="15" t="s">
        <v>515</v>
      </c>
      <c r="H49" s="16"/>
      <c r="I49" s="16" t="b">
        <v>0</v>
      </c>
      <c r="J49" s="190"/>
      <c r="K49" s="14"/>
      <c r="L49" s="15" t="s">
        <v>515</v>
      </c>
      <c r="M49" s="16"/>
      <c r="N49" s="16" t="b">
        <v>0</v>
      </c>
      <c r="O49" s="190"/>
    </row>
    <row r="50" spans="2:15" ht="12.5">
      <c r="B50" s="149" t="s">
        <v>749</v>
      </c>
      <c r="C50" s="14" t="b">
        <v>1</v>
      </c>
      <c r="D50" s="14" t="b">
        <v>1</v>
      </c>
      <c r="E50" s="152" t="s">
        <v>305</v>
      </c>
      <c r="F50" s="14"/>
      <c r="G50" s="146" t="s">
        <v>750</v>
      </c>
      <c r="H50" s="147" t="b">
        <v>0</v>
      </c>
      <c r="I50" s="147" t="b">
        <v>0</v>
      </c>
      <c r="J50" s="189" t="s">
        <v>533</v>
      </c>
      <c r="K50" s="14"/>
      <c r="L50" s="146" t="s">
        <v>751</v>
      </c>
      <c r="M50" s="147" t="b">
        <v>1</v>
      </c>
      <c r="N50" s="147" t="b">
        <v>1</v>
      </c>
      <c r="O50" s="189" t="s">
        <v>511</v>
      </c>
    </row>
    <row r="51" spans="2:15" ht="12.5">
      <c r="B51" s="149" t="s">
        <v>752</v>
      </c>
      <c r="C51" s="14" t="b">
        <v>1</v>
      </c>
      <c r="D51" s="14" t="b">
        <v>1</v>
      </c>
      <c r="E51" s="157" t="s">
        <v>299</v>
      </c>
      <c r="F51" s="14"/>
      <c r="G51" s="133" t="s">
        <v>515</v>
      </c>
      <c r="H51" s="166"/>
      <c r="I51" s="166" t="b">
        <v>0</v>
      </c>
      <c r="J51" s="190"/>
      <c r="K51" s="14"/>
      <c r="L51" s="15" t="s">
        <v>515</v>
      </c>
      <c r="M51" s="16"/>
      <c r="N51" s="16" t="b">
        <v>1</v>
      </c>
      <c r="O51" s="190"/>
    </row>
    <row r="52" spans="2:15" ht="12.5">
      <c r="B52" s="10" t="s">
        <v>753</v>
      </c>
      <c r="C52" s="14" t="b">
        <v>0</v>
      </c>
      <c r="D52" s="14" t="b">
        <v>0</v>
      </c>
      <c r="E52" s="168" t="s">
        <v>754</v>
      </c>
      <c r="F52" s="14"/>
      <c r="K52" s="14"/>
      <c r="L52" s="149" t="s">
        <v>755</v>
      </c>
      <c r="M52" s="14" t="b">
        <v>0</v>
      </c>
      <c r="N52" s="14" t="b">
        <v>0</v>
      </c>
      <c r="O52" s="192" t="s">
        <v>511</v>
      </c>
    </row>
    <row r="53" spans="2:15" ht="12.5">
      <c r="B53" s="10" t="s">
        <v>756</v>
      </c>
      <c r="C53" s="14" t="b">
        <v>1</v>
      </c>
      <c r="D53" s="14" t="b">
        <v>0</v>
      </c>
      <c r="E53" s="168" t="s">
        <v>501</v>
      </c>
      <c r="F53" s="14"/>
      <c r="K53" s="14"/>
      <c r="L53" s="10" t="s">
        <v>515</v>
      </c>
      <c r="N53" s="13" t="b">
        <v>0</v>
      </c>
      <c r="O53" s="201"/>
    </row>
    <row r="54" spans="2:15" ht="12.5">
      <c r="B54" s="149" t="s">
        <v>757</v>
      </c>
      <c r="C54" s="14" t="b">
        <v>1</v>
      </c>
      <c r="D54" s="14" t="b">
        <v>1</v>
      </c>
      <c r="E54" s="152" t="s">
        <v>305</v>
      </c>
      <c r="F54" s="14"/>
      <c r="K54" s="14"/>
      <c r="L54" s="146" t="s">
        <v>758</v>
      </c>
      <c r="M54" s="147" t="b">
        <v>0</v>
      </c>
      <c r="N54" s="147" t="b">
        <v>0</v>
      </c>
      <c r="O54" s="189" t="s">
        <v>511</v>
      </c>
    </row>
    <row r="55" spans="2:15" ht="12.5">
      <c r="B55" s="149" t="s">
        <v>759</v>
      </c>
      <c r="C55" s="14" t="b">
        <v>1</v>
      </c>
      <c r="D55" s="14" t="b">
        <v>1</v>
      </c>
      <c r="E55" s="159" t="s">
        <v>341</v>
      </c>
      <c r="F55" s="14"/>
      <c r="K55" s="14"/>
      <c r="L55" s="15" t="s">
        <v>515</v>
      </c>
      <c r="M55" s="16"/>
      <c r="N55" s="16" t="b">
        <v>0</v>
      </c>
      <c r="O55" s="190"/>
    </row>
    <row r="56" spans="2:15" ht="12.5">
      <c r="B56" s="149" t="s">
        <v>760</v>
      </c>
      <c r="C56" s="14" t="b">
        <v>1</v>
      </c>
      <c r="D56" s="14" t="b">
        <v>1</v>
      </c>
      <c r="E56" s="152" t="s">
        <v>305</v>
      </c>
      <c r="F56" s="14"/>
      <c r="K56" s="14"/>
      <c r="L56" s="14"/>
      <c r="M56" s="14"/>
      <c r="N56" s="14"/>
      <c r="O56" s="14"/>
    </row>
    <row r="57" spans="2:15" ht="13">
      <c r="B57" s="149" t="s">
        <v>761</v>
      </c>
      <c r="C57" s="14" t="b">
        <v>1</v>
      </c>
      <c r="D57" s="14" t="b">
        <v>1</v>
      </c>
      <c r="E57" s="156" t="s">
        <v>762</v>
      </c>
      <c r="F57" s="14"/>
      <c r="K57" s="14"/>
      <c r="L57" s="14"/>
      <c r="M57" s="14"/>
      <c r="N57" s="14"/>
      <c r="O57" s="14"/>
    </row>
    <row r="58" spans="2:15" ht="13">
      <c r="B58" s="149" t="s">
        <v>763</v>
      </c>
      <c r="C58" s="14" t="b">
        <v>1</v>
      </c>
      <c r="D58" s="14" t="b">
        <v>1</v>
      </c>
      <c r="E58" s="159" t="s">
        <v>396</v>
      </c>
      <c r="F58" s="14"/>
      <c r="K58" s="14"/>
      <c r="L58" s="100" t="s">
        <v>358</v>
      </c>
      <c r="M58" s="101" t="s">
        <v>86</v>
      </c>
      <c r="N58" s="101" t="s">
        <v>87</v>
      </c>
      <c r="O58" s="102" t="s">
        <v>110</v>
      </c>
    </row>
    <row r="59" spans="2:15" ht="12.5">
      <c r="B59" s="149" t="s">
        <v>764</v>
      </c>
      <c r="C59" s="14" t="b">
        <v>1</v>
      </c>
      <c r="D59" s="14" t="b">
        <v>1</v>
      </c>
      <c r="E59" s="152" t="s">
        <v>305</v>
      </c>
      <c r="F59" s="14"/>
      <c r="K59" s="14"/>
      <c r="L59" s="146" t="s">
        <v>765</v>
      </c>
      <c r="M59" s="147" t="b">
        <v>1</v>
      </c>
      <c r="N59" s="147" t="b">
        <v>1</v>
      </c>
      <c r="O59" s="189" t="s">
        <v>558</v>
      </c>
    </row>
    <row r="60" spans="2:15" ht="12.5">
      <c r="B60" s="10" t="s">
        <v>766</v>
      </c>
      <c r="C60" s="14" t="b">
        <v>1</v>
      </c>
      <c r="D60" s="14" t="b">
        <v>0</v>
      </c>
      <c r="E60" s="155" t="s">
        <v>331</v>
      </c>
      <c r="F60" s="14"/>
      <c r="K60" s="14"/>
      <c r="L60" s="15" t="s">
        <v>515</v>
      </c>
      <c r="M60" s="16"/>
      <c r="N60" s="16" t="b">
        <v>1</v>
      </c>
      <c r="O60" s="190"/>
    </row>
    <row r="61" spans="2:15" ht="13">
      <c r="B61" s="149" t="s">
        <v>767</v>
      </c>
      <c r="C61" s="14" t="b">
        <v>1</v>
      </c>
      <c r="D61" s="14" t="b">
        <v>1</v>
      </c>
      <c r="E61" s="156" t="s">
        <v>768</v>
      </c>
      <c r="F61" s="14"/>
      <c r="K61" s="14"/>
      <c r="L61" s="149" t="s">
        <v>769</v>
      </c>
      <c r="M61" s="14" t="b">
        <v>0</v>
      </c>
      <c r="N61" s="14" t="b">
        <v>0</v>
      </c>
      <c r="O61" s="189" t="s">
        <v>558</v>
      </c>
    </row>
    <row r="62" spans="2:15" ht="12.5">
      <c r="B62" s="149" t="s">
        <v>770</v>
      </c>
      <c r="C62" s="14" t="b">
        <v>0</v>
      </c>
      <c r="D62" s="14" t="b">
        <v>0</v>
      </c>
      <c r="E62" s="211" t="s">
        <v>406</v>
      </c>
      <c r="F62" s="14"/>
      <c r="K62" s="14"/>
      <c r="L62" s="15" t="s">
        <v>515</v>
      </c>
      <c r="M62" s="16"/>
      <c r="N62" s="16" t="b">
        <v>0</v>
      </c>
      <c r="O62" s="190"/>
    </row>
    <row r="63" spans="2:15" ht="12.5">
      <c r="B63" s="149" t="s">
        <v>771</v>
      </c>
      <c r="C63" s="14" t="b">
        <v>1</v>
      </c>
      <c r="D63" s="14" t="b">
        <v>1</v>
      </c>
      <c r="E63" s="157" t="s">
        <v>348</v>
      </c>
      <c r="F63" s="14"/>
      <c r="K63" s="14"/>
      <c r="L63" s="146" t="s">
        <v>772</v>
      </c>
      <c r="M63" s="147" t="b">
        <v>1</v>
      </c>
      <c r="N63" s="147" t="b">
        <v>1</v>
      </c>
      <c r="O63" s="189" t="s">
        <v>558</v>
      </c>
    </row>
    <row r="64" spans="2:15" ht="12.5">
      <c r="B64" s="149" t="s">
        <v>773</v>
      </c>
      <c r="C64" s="14" t="b">
        <v>1</v>
      </c>
      <c r="D64" s="14" t="b">
        <v>1</v>
      </c>
      <c r="E64" s="211" t="s">
        <v>406</v>
      </c>
      <c r="F64" s="14"/>
      <c r="K64" s="14"/>
      <c r="L64" s="15" t="s">
        <v>515</v>
      </c>
      <c r="M64" s="16"/>
      <c r="N64" s="16" t="b">
        <v>0</v>
      </c>
      <c r="O64" s="190"/>
    </row>
    <row r="65" spans="2:15" ht="12.5">
      <c r="B65" s="162" t="s">
        <v>774</v>
      </c>
      <c r="C65" s="163" t="b">
        <v>1</v>
      </c>
      <c r="D65" s="163" t="b">
        <v>0</v>
      </c>
      <c r="E65" s="217" t="s">
        <v>318</v>
      </c>
      <c r="F65" s="14"/>
      <c r="K65" s="14"/>
      <c r="L65" s="149" t="s">
        <v>775</v>
      </c>
      <c r="M65" s="14" t="b">
        <v>0</v>
      </c>
      <c r="N65" s="14" t="b">
        <v>0</v>
      </c>
      <c r="O65" s="189" t="s">
        <v>558</v>
      </c>
    </row>
    <row r="66" spans="2:15" ht="12.5">
      <c r="F66" s="14"/>
      <c r="K66" s="14"/>
      <c r="L66" s="112" t="s">
        <v>515</v>
      </c>
      <c r="M66" s="89"/>
      <c r="N66" s="89" t="b">
        <v>0</v>
      </c>
      <c r="O66" s="190"/>
    </row>
    <row r="67" spans="2:15" ht="12.5">
      <c r="F67" s="14"/>
      <c r="K67" s="14"/>
      <c r="L67" s="108" t="s">
        <v>776</v>
      </c>
      <c r="M67" s="109" t="b">
        <v>0</v>
      </c>
      <c r="N67" s="109" t="b">
        <v>0</v>
      </c>
      <c r="O67" s="189" t="s">
        <v>558</v>
      </c>
    </row>
    <row r="68" spans="2:15" ht="12.5">
      <c r="F68" s="14"/>
      <c r="K68" s="14"/>
      <c r="L68" s="133" t="s">
        <v>515</v>
      </c>
      <c r="M68" s="166"/>
      <c r="N68" s="166" t="b">
        <v>0</v>
      </c>
      <c r="O68" s="190"/>
    </row>
  </sheetData>
  <conditionalFormatting sqref="B3:D68">
    <cfRule type="expression" dxfId="25" priority="1">
      <formula>$D3=TRUE</formula>
    </cfRule>
    <cfRule type="expression" dxfId="24" priority="6">
      <formula>$C3=TRUE</formula>
    </cfRule>
  </conditionalFormatting>
  <conditionalFormatting sqref="G3:I70">
    <cfRule type="expression" dxfId="23" priority="2">
      <formula>$I3=TRUE</formula>
    </cfRule>
    <cfRule type="expression" dxfId="22" priority="3">
      <formula>$H3=TRUE</formula>
    </cfRule>
  </conditionalFormatting>
  <conditionalFormatting sqref="L3:N69">
    <cfRule type="expression" dxfId="21" priority="4">
      <formula>$N3=TRUE</formula>
    </cfRule>
    <cfRule type="expression" dxfId="20" priority="5">
      <formula>$M3=TRUE</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Y88"/>
  <sheetViews>
    <sheetView topLeftCell="A31" workbookViewId="0">
      <selection activeCell="U1" sqref="U1:U1048576"/>
    </sheetView>
  </sheetViews>
  <sheetFormatPr defaultColWidth="12.6328125" defaultRowHeight="15.75" customHeight="1"/>
  <cols>
    <col min="1" max="1" width="0.36328125" customWidth="1"/>
    <col min="2" max="2" width="17.08984375" customWidth="1"/>
    <col min="3" max="3" width="8.08984375" customWidth="1"/>
    <col min="4" max="4" width="8" customWidth="1"/>
    <col min="5" max="5" width="31" customWidth="1"/>
    <col min="6" max="6" width="0.36328125" customWidth="1"/>
    <col min="7" max="7" width="14.6328125" customWidth="1"/>
    <col min="8" max="9" width="8.36328125" customWidth="1"/>
    <col min="10" max="10" width="21" customWidth="1"/>
    <col min="11" max="11" width="0.36328125" customWidth="1"/>
    <col min="12" max="12" width="13.6328125" customWidth="1"/>
    <col min="13" max="13" width="8.36328125" customWidth="1"/>
    <col min="14" max="14" width="8.08984375" customWidth="1"/>
    <col min="15" max="15" width="23.08984375" customWidth="1"/>
    <col min="16" max="16" width="0.36328125" customWidth="1"/>
    <col min="17" max="17" width="15.26953125" customWidth="1"/>
    <col min="18" max="18" width="8.08984375" customWidth="1"/>
    <col min="19" max="19" width="8.36328125" customWidth="1"/>
    <col min="20" max="20" width="22.26953125" customWidth="1"/>
    <col min="21" max="21" width="0.36328125" customWidth="1"/>
    <col min="22" max="22" width="12.90625" customWidth="1"/>
    <col min="23" max="23" width="9.6328125" customWidth="1"/>
    <col min="24" max="24" width="10.6328125" customWidth="1"/>
    <col min="25" max="25" width="0.7265625" customWidth="1"/>
  </cols>
  <sheetData>
    <row r="1" spans="2:25" ht="1.5" customHeight="1">
      <c r="B1" s="218"/>
      <c r="C1" s="219"/>
      <c r="D1" s="219"/>
      <c r="E1" s="219"/>
      <c r="F1" s="14"/>
      <c r="G1" s="218"/>
      <c r="H1" s="219"/>
      <c r="I1" s="219"/>
      <c r="J1" s="219"/>
      <c r="K1" s="14"/>
      <c r="L1" s="218"/>
      <c r="M1" s="219"/>
      <c r="N1" s="219"/>
      <c r="O1" s="219"/>
      <c r="P1" s="14"/>
      <c r="Q1" s="218"/>
      <c r="R1" s="219"/>
      <c r="S1" s="219"/>
      <c r="T1" s="219"/>
      <c r="V1" s="218"/>
      <c r="W1" s="219"/>
      <c r="X1" s="219"/>
      <c r="Y1" s="219"/>
    </row>
    <row r="2" spans="2:25" ht="13">
      <c r="B2" s="100" t="s">
        <v>777</v>
      </c>
      <c r="C2" s="101" t="s">
        <v>86</v>
      </c>
      <c r="D2" s="101" t="s">
        <v>87</v>
      </c>
      <c r="E2" s="101" t="s">
        <v>110</v>
      </c>
      <c r="F2" s="14"/>
      <c r="G2" s="100" t="s">
        <v>778</v>
      </c>
      <c r="H2" s="101" t="s">
        <v>86</v>
      </c>
      <c r="I2" s="101" t="s">
        <v>87</v>
      </c>
      <c r="J2" s="101" t="s">
        <v>110</v>
      </c>
      <c r="K2" s="14"/>
      <c r="L2" s="100" t="s">
        <v>779</v>
      </c>
      <c r="M2" s="101" t="s">
        <v>86</v>
      </c>
      <c r="N2" s="101" t="s">
        <v>87</v>
      </c>
      <c r="O2" s="101" t="s">
        <v>110</v>
      </c>
      <c r="P2" s="14"/>
      <c r="Q2" s="100" t="s">
        <v>780</v>
      </c>
      <c r="R2" s="101" t="s">
        <v>86</v>
      </c>
      <c r="S2" s="101" t="s">
        <v>87</v>
      </c>
      <c r="T2" s="101" t="s">
        <v>110</v>
      </c>
      <c r="V2" s="105" t="s">
        <v>17</v>
      </c>
      <c r="W2" s="106" t="s">
        <v>18</v>
      </c>
      <c r="X2" s="107" t="s">
        <v>14</v>
      </c>
      <c r="Y2" s="18"/>
    </row>
    <row r="3" spans="2:25" ht="12.5">
      <c r="B3" s="146" t="s">
        <v>781</v>
      </c>
      <c r="C3" s="147" t="b">
        <v>0</v>
      </c>
      <c r="D3" s="147" t="b">
        <v>0</v>
      </c>
      <c r="E3" s="213" t="s">
        <v>782</v>
      </c>
      <c r="F3" s="14"/>
      <c r="G3" s="146" t="s">
        <v>783</v>
      </c>
      <c r="H3" s="147" t="b">
        <v>1</v>
      </c>
      <c r="I3" s="147" t="b">
        <v>1</v>
      </c>
      <c r="J3" s="220" t="s">
        <v>784</v>
      </c>
      <c r="K3" s="14"/>
      <c r="L3" s="146" t="s">
        <v>785</v>
      </c>
      <c r="M3" s="147" t="b">
        <v>1</v>
      </c>
      <c r="N3" s="147" t="b">
        <v>1</v>
      </c>
      <c r="O3" s="221" t="s">
        <v>435</v>
      </c>
      <c r="P3" s="14"/>
      <c r="Q3" s="146" t="s">
        <v>786</v>
      </c>
      <c r="R3" s="147" t="b">
        <v>1</v>
      </c>
      <c r="S3" s="147" t="b">
        <v>1</v>
      </c>
      <c r="T3" s="148" t="s">
        <v>348</v>
      </c>
      <c r="V3" s="114" t="str">
        <f>B2</f>
        <v>Swords/Nikanas</v>
      </c>
      <c r="W3" s="4">
        <f>COUNTIF(C3:C23, "TRUE")</f>
        <v>14</v>
      </c>
      <c r="X3" s="5">
        <f>COUNTIF(D3:D23, "TRUE")</f>
        <v>14</v>
      </c>
      <c r="Y3" s="115"/>
    </row>
    <row r="4" spans="2:25" ht="13">
      <c r="B4" s="149" t="s">
        <v>787</v>
      </c>
      <c r="C4" s="14" t="b">
        <v>1</v>
      </c>
      <c r="D4" s="14" t="b">
        <v>1</v>
      </c>
      <c r="E4" s="222" t="s">
        <v>788</v>
      </c>
      <c r="F4" s="14"/>
      <c r="G4" s="149" t="s">
        <v>789</v>
      </c>
      <c r="H4" s="14" t="b">
        <v>0</v>
      </c>
      <c r="I4" s="14" t="b">
        <v>0</v>
      </c>
      <c r="J4" s="223" t="s">
        <v>784</v>
      </c>
      <c r="K4" s="14"/>
      <c r="L4" s="149" t="s">
        <v>790</v>
      </c>
      <c r="M4" s="14" t="b">
        <v>1</v>
      </c>
      <c r="N4" s="14" t="b">
        <v>1</v>
      </c>
      <c r="O4" s="156" t="s">
        <v>791</v>
      </c>
      <c r="P4" s="14"/>
      <c r="Q4" s="149" t="s">
        <v>792</v>
      </c>
      <c r="R4" s="14" t="b">
        <v>0</v>
      </c>
      <c r="S4" s="14" t="b">
        <v>0</v>
      </c>
      <c r="T4" s="154" t="s">
        <v>351</v>
      </c>
      <c r="V4" s="10" t="str">
        <f>B25</f>
        <v>Dual Swords</v>
      </c>
      <c r="W4">
        <f>COUNTIF(C26:C40, "TRUE")</f>
        <v>13</v>
      </c>
      <c r="X4" s="12">
        <f>COUNTIF(D26:D40, "TRUE")</f>
        <v>10</v>
      </c>
    </row>
    <row r="5" spans="2:25" ht="13">
      <c r="B5" s="149" t="s">
        <v>793</v>
      </c>
      <c r="C5" s="14" t="b">
        <v>1</v>
      </c>
      <c r="D5" s="14" t="b">
        <v>1</v>
      </c>
      <c r="E5" s="145" t="s">
        <v>744</v>
      </c>
      <c r="F5" s="14"/>
      <c r="G5" s="149" t="s">
        <v>794</v>
      </c>
      <c r="H5" s="14" t="b">
        <v>1</v>
      </c>
      <c r="I5" s="14" t="b">
        <v>0</v>
      </c>
      <c r="J5" s="223" t="s">
        <v>784</v>
      </c>
      <c r="K5" s="14"/>
      <c r="L5" s="149" t="s">
        <v>795</v>
      </c>
      <c r="M5" s="14" t="b">
        <v>1</v>
      </c>
      <c r="N5" s="14" t="b">
        <v>1</v>
      </c>
      <c r="O5" s="156" t="s">
        <v>796</v>
      </c>
      <c r="P5" s="14"/>
      <c r="Q5" s="149" t="s">
        <v>797</v>
      </c>
      <c r="R5" s="14" t="b">
        <v>1</v>
      </c>
      <c r="S5" s="14" t="b">
        <v>1</v>
      </c>
      <c r="T5" s="152" t="s">
        <v>305</v>
      </c>
      <c r="V5" s="10" t="str">
        <f>B42</f>
        <v>Heavy Blades</v>
      </c>
      <c r="W5" s="13">
        <f>COUNTIF(C43:C47, "TRUE")+COUNTIF(C49:C53, "TRUE")</f>
        <v>6</v>
      </c>
      <c r="X5" s="12">
        <f>COUNTIF(D43:D47, "TRUE")+COUNTIF(D49:D53, "TRUE")</f>
        <v>6</v>
      </c>
    </row>
    <row r="6" spans="2:25" ht="12.5">
      <c r="B6" s="149" t="s">
        <v>798</v>
      </c>
      <c r="C6" s="14" t="b">
        <v>0</v>
      </c>
      <c r="D6" s="14" t="b">
        <v>0</v>
      </c>
      <c r="E6" s="223" t="s">
        <v>784</v>
      </c>
      <c r="F6" s="14"/>
      <c r="G6" s="149" t="s">
        <v>799</v>
      </c>
      <c r="H6" s="14" t="b">
        <v>0</v>
      </c>
      <c r="I6" s="14" t="b">
        <v>0</v>
      </c>
      <c r="J6" s="159" t="s">
        <v>693</v>
      </c>
      <c r="K6" s="14"/>
      <c r="L6" s="149" t="s">
        <v>800</v>
      </c>
      <c r="M6" s="14" t="b">
        <v>1</v>
      </c>
      <c r="N6" s="14" t="b">
        <v>1</v>
      </c>
      <c r="O6" s="180" t="s">
        <v>801</v>
      </c>
      <c r="P6" s="14"/>
      <c r="Q6" s="149" t="s">
        <v>802</v>
      </c>
      <c r="R6" s="14" t="b">
        <v>1</v>
      </c>
      <c r="S6" s="14" t="b">
        <v>0</v>
      </c>
      <c r="T6" s="151" t="s">
        <v>466</v>
      </c>
      <c r="V6" s="10" t="str">
        <f>B55</f>
        <v>Zaw</v>
      </c>
      <c r="W6">
        <f>COUNTIF(C56:C66, "TRUE")</f>
        <v>0</v>
      </c>
      <c r="X6" s="12">
        <f>COUNTIF(D56:D66, "TRUE")</f>
        <v>0</v>
      </c>
    </row>
    <row r="7" spans="2:25" ht="16.5">
      <c r="B7" s="149" t="s">
        <v>803</v>
      </c>
      <c r="C7" s="14" t="b">
        <v>1</v>
      </c>
      <c r="D7" s="14" t="b">
        <v>1</v>
      </c>
      <c r="E7" s="151" t="s">
        <v>388</v>
      </c>
      <c r="F7" s="14"/>
      <c r="G7" s="149" t="s">
        <v>804</v>
      </c>
      <c r="H7" s="14" t="b">
        <v>1</v>
      </c>
      <c r="I7" s="14" t="b">
        <v>1</v>
      </c>
      <c r="J7" s="152" t="s">
        <v>305</v>
      </c>
      <c r="K7" s="14"/>
      <c r="L7" s="10" t="s">
        <v>805</v>
      </c>
      <c r="M7" s="14" t="b">
        <v>1</v>
      </c>
      <c r="N7" s="14" t="b">
        <v>1</v>
      </c>
      <c r="O7" s="224" t="s">
        <v>806</v>
      </c>
      <c r="P7" s="14"/>
      <c r="Q7" s="149" t="s">
        <v>807</v>
      </c>
      <c r="R7" s="14" t="b">
        <v>1</v>
      </c>
      <c r="S7" s="14" t="b">
        <v>1</v>
      </c>
      <c r="T7" s="145" t="s">
        <v>462</v>
      </c>
      <c r="V7" s="10" t="str">
        <f>G2</f>
        <v>Daggers</v>
      </c>
      <c r="W7" s="82">
        <f>COUNTIF(H3:H10, "TRUE")</f>
        <v>5</v>
      </c>
      <c r="X7" s="12">
        <f>COUNTIF(I3:I10, "TRUE")</f>
        <v>4</v>
      </c>
    </row>
    <row r="8" spans="2:25" ht="13">
      <c r="B8" s="149" t="s">
        <v>808</v>
      </c>
      <c r="C8" s="14" t="b">
        <v>1</v>
      </c>
      <c r="D8" s="14" t="b">
        <v>1</v>
      </c>
      <c r="E8" s="156" t="s">
        <v>809</v>
      </c>
      <c r="F8" s="14"/>
      <c r="G8" s="10" t="s">
        <v>810</v>
      </c>
      <c r="H8" s="14" t="b">
        <v>1</v>
      </c>
      <c r="I8" s="14" t="b">
        <v>1</v>
      </c>
      <c r="J8" s="155" t="s">
        <v>493</v>
      </c>
      <c r="K8" s="14"/>
      <c r="L8" s="10" t="s">
        <v>811</v>
      </c>
      <c r="M8" s="14" t="b">
        <v>1</v>
      </c>
      <c r="N8" s="14" t="b">
        <v>1</v>
      </c>
      <c r="O8" s="161" t="s">
        <v>348</v>
      </c>
      <c r="P8" s="14"/>
      <c r="Q8" s="162" t="s">
        <v>812</v>
      </c>
      <c r="R8" s="163" t="b">
        <v>0</v>
      </c>
      <c r="S8" s="163" t="b">
        <v>0</v>
      </c>
      <c r="T8" s="225" t="s">
        <v>348</v>
      </c>
      <c r="V8" s="10" t="str">
        <f>G12</f>
        <v>Dual Daggers</v>
      </c>
      <c r="W8">
        <f>COUNTIF(H13:H16, "TRUE")</f>
        <v>3</v>
      </c>
      <c r="X8" s="12">
        <f>COUNTIF(I13:I16, "TRUE")</f>
        <v>3</v>
      </c>
    </row>
    <row r="9" spans="2:25" ht="12.5">
      <c r="B9" s="149" t="s">
        <v>813</v>
      </c>
      <c r="C9" s="14" t="b">
        <v>1</v>
      </c>
      <c r="D9" s="14" t="b">
        <v>1</v>
      </c>
      <c r="E9" s="152" t="s">
        <v>305</v>
      </c>
      <c r="F9" s="14"/>
      <c r="G9" s="149" t="s">
        <v>814</v>
      </c>
      <c r="H9" s="14" t="b">
        <v>1</v>
      </c>
      <c r="I9" s="14" t="b">
        <v>1</v>
      </c>
      <c r="J9" s="180" t="s">
        <v>481</v>
      </c>
      <c r="K9" s="14"/>
      <c r="L9" s="149" t="s">
        <v>815</v>
      </c>
      <c r="M9" s="14" t="b">
        <v>0</v>
      </c>
      <c r="N9" s="14" t="b">
        <v>0</v>
      </c>
      <c r="O9" s="159" t="s">
        <v>782</v>
      </c>
      <c r="P9" s="14"/>
      <c r="Q9" s="14"/>
      <c r="R9" s="14"/>
      <c r="S9" s="14"/>
      <c r="T9" s="14"/>
      <c r="V9" s="10" t="str">
        <f>G18</f>
        <v>Machetes</v>
      </c>
      <c r="W9">
        <f>COUNTIF(H19:H28, "TRUE")</f>
        <v>8</v>
      </c>
      <c r="X9" s="12">
        <f>COUNTIF(I19:I28, "TRUE")</f>
        <v>6</v>
      </c>
    </row>
    <row r="10" spans="2:25" ht="13">
      <c r="B10" s="149" t="s">
        <v>816</v>
      </c>
      <c r="C10" s="14" t="b">
        <v>1</v>
      </c>
      <c r="D10" s="14" t="b">
        <v>1</v>
      </c>
      <c r="E10" s="223" t="s">
        <v>784</v>
      </c>
      <c r="F10" s="14"/>
      <c r="G10" s="162" t="s">
        <v>817</v>
      </c>
      <c r="H10" s="163" t="b">
        <v>0</v>
      </c>
      <c r="I10" s="163" t="b">
        <v>0</v>
      </c>
      <c r="J10" s="193" t="s">
        <v>384</v>
      </c>
      <c r="K10" s="14"/>
      <c r="L10" s="149" t="s">
        <v>818</v>
      </c>
      <c r="M10" s="14" t="b">
        <v>1</v>
      </c>
      <c r="N10" s="14" t="b">
        <v>1</v>
      </c>
      <c r="O10" s="157" t="s">
        <v>348</v>
      </c>
      <c r="P10" s="14"/>
      <c r="Q10" s="100" t="s">
        <v>819</v>
      </c>
      <c r="R10" s="101" t="s">
        <v>86</v>
      </c>
      <c r="S10" s="101" t="s">
        <v>87</v>
      </c>
      <c r="T10" s="101" t="s">
        <v>110</v>
      </c>
      <c r="V10" s="10" t="str">
        <f>G30</f>
        <v>Fist/Sparring</v>
      </c>
      <c r="W10">
        <f>COUNTIF(H31:H40, "TRUE")</f>
        <v>7</v>
      </c>
      <c r="X10" s="12">
        <f>COUNTIF(I31:I40, "TRUE")</f>
        <v>6</v>
      </c>
    </row>
    <row r="11" spans="2:25" ht="12.5">
      <c r="B11" s="149" t="s">
        <v>820</v>
      </c>
      <c r="C11" s="14" t="b">
        <v>0</v>
      </c>
      <c r="D11" s="14" t="b">
        <v>0</v>
      </c>
      <c r="E11" s="223" t="s">
        <v>784</v>
      </c>
      <c r="F11" s="14"/>
      <c r="G11" s="14"/>
      <c r="H11" s="14"/>
      <c r="I11" s="14"/>
      <c r="J11" s="14"/>
      <c r="K11" s="14"/>
      <c r="L11" s="149" t="s">
        <v>821</v>
      </c>
      <c r="M11" s="14" t="b">
        <v>1</v>
      </c>
      <c r="N11" s="14" t="b">
        <v>1</v>
      </c>
      <c r="O11" s="154" t="s">
        <v>313</v>
      </c>
      <c r="P11" s="14"/>
      <c r="Q11" s="146" t="s">
        <v>822</v>
      </c>
      <c r="R11" s="147" t="b">
        <v>1</v>
      </c>
      <c r="S11" s="147" t="b">
        <v>1</v>
      </c>
      <c r="T11" s="226" t="s">
        <v>305</v>
      </c>
      <c r="V11" s="112" t="str">
        <f>G42</f>
        <v>Sword-Shield</v>
      </c>
      <c r="W11" s="89">
        <f>COUNTIF(H43:H48, "TRUE")</f>
        <v>4</v>
      </c>
      <c r="X11" s="165">
        <f>COUNTIF(I43:I48, "TRUE")</f>
        <v>3</v>
      </c>
    </row>
    <row r="12" spans="2:25" ht="13">
      <c r="B12" s="149" t="s">
        <v>823</v>
      </c>
      <c r="C12" s="14" t="b">
        <v>1</v>
      </c>
      <c r="D12" s="14" t="b">
        <v>1</v>
      </c>
      <c r="E12" s="156" t="s">
        <v>824</v>
      </c>
      <c r="F12" s="143"/>
      <c r="G12" s="100" t="s">
        <v>825</v>
      </c>
      <c r="H12" s="101" t="s">
        <v>86</v>
      </c>
      <c r="I12" s="101" t="s">
        <v>87</v>
      </c>
      <c r="J12" s="101" t="s">
        <v>110</v>
      </c>
      <c r="K12" s="14"/>
      <c r="L12" s="149" t="s">
        <v>826</v>
      </c>
      <c r="M12" s="14" t="b">
        <v>0</v>
      </c>
      <c r="N12" s="14" t="b">
        <v>0</v>
      </c>
      <c r="O12" s="151" t="s">
        <v>827</v>
      </c>
      <c r="P12" s="14"/>
      <c r="Q12" s="149" t="s">
        <v>828</v>
      </c>
      <c r="R12" s="14" t="b">
        <v>0</v>
      </c>
      <c r="S12" s="14" t="b">
        <v>0</v>
      </c>
      <c r="T12" s="159" t="s">
        <v>829</v>
      </c>
      <c r="V12" s="112" t="str">
        <f>G50</f>
        <v>Gunblade</v>
      </c>
      <c r="W12" s="89">
        <f>COUNTIF(H51:H54, "TRUE")</f>
        <v>3</v>
      </c>
      <c r="X12" s="165">
        <f>COUNTIF(I51:I54, "TRUE")</f>
        <v>1</v>
      </c>
    </row>
    <row r="13" spans="2:25" ht="13">
      <c r="B13" s="149" t="s">
        <v>830</v>
      </c>
      <c r="C13" s="14" t="b">
        <v>1</v>
      </c>
      <c r="D13" s="14" t="b">
        <v>1</v>
      </c>
      <c r="E13" s="152" t="s">
        <v>305</v>
      </c>
      <c r="F13" s="14"/>
      <c r="G13" s="146" t="s">
        <v>831</v>
      </c>
      <c r="H13" s="147" t="b">
        <v>1</v>
      </c>
      <c r="I13" s="147" t="b">
        <v>1</v>
      </c>
      <c r="J13" s="227" t="s">
        <v>832</v>
      </c>
      <c r="K13" s="14"/>
      <c r="L13" s="149" t="s">
        <v>833</v>
      </c>
      <c r="M13" s="14" t="b">
        <v>1</v>
      </c>
      <c r="N13" s="14" t="b">
        <v>0</v>
      </c>
      <c r="O13" s="156" t="s">
        <v>834</v>
      </c>
      <c r="P13" s="14"/>
      <c r="Q13" s="149" t="s">
        <v>835</v>
      </c>
      <c r="R13" s="14" t="b">
        <v>1</v>
      </c>
      <c r="S13" s="14" t="b">
        <v>1</v>
      </c>
      <c r="T13" s="152" t="s">
        <v>305</v>
      </c>
      <c r="V13" s="10" t="str">
        <f>G56</f>
        <v>Warfans</v>
      </c>
      <c r="W13">
        <f>COUNTIF(H57:H60, "TRUE")</f>
        <v>2</v>
      </c>
      <c r="X13" s="12">
        <f>COUNTIF(I57:I60, "TRUE")</f>
        <v>1</v>
      </c>
      <c r="Y13" s="89"/>
    </row>
    <row r="14" spans="2:25" ht="13">
      <c r="B14" s="149" t="s">
        <v>836</v>
      </c>
      <c r="C14" s="14" t="b">
        <v>1</v>
      </c>
      <c r="D14" s="14" t="b">
        <v>1</v>
      </c>
      <c r="E14" s="210" t="s">
        <v>837</v>
      </c>
      <c r="F14" s="14"/>
      <c r="G14" s="149" t="s">
        <v>838</v>
      </c>
      <c r="H14" s="14" t="b">
        <v>1</v>
      </c>
      <c r="I14" s="14" t="b">
        <v>1</v>
      </c>
      <c r="J14" s="152" t="s">
        <v>305</v>
      </c>
      <c r="K14" s="14"/>
      <c r="L14" s="149" t="s">
        <v>839</v>
      </c>
      <c r="M14" s="14" t="b">
        <v>1</v>
      </c>
      <c r="N14" s="14" t="b">
        <v>1</v>
      </c>
      <c r="O14" s="152" t="s">
        <v>305</v>
      </c>
      <c r="P14" s="14"/>
      <c r="Q14" s="149" t="s">
        <v>840</v>
      </c>
      <c r="R14" s="14" t="b">
        <v>0</v>
      </c>
      <c r="S14" s="14" t="b">
        <v>0</v>
      </c>
      <c r="T14" s="228" t="s">
        <v>841</v>
      </c>
      <c r="V14" s="10" t="str">
        <f>L2</f>
        <v>Polearm/Staff</v>
      </c>
      <c r="W14">
        <f>COUNTIF(M3:M20, "TRUE")</f>
        <v>15</v>
      </c>
      <c r="X14" s="12">
        <f>COUNTIF(N3:N20, "TRUE")</f>
        <v>14</v>
      </c>
    </row>
    <row r="15" spans="2:25" ht="12.5">
      <c r="B15" s="149" t="s">
        <v>842</v>
      </c>
      <c r="C15" s="14" t="b">
        <v>0</v>
      </c>
      <c r="D15" s="14" t="b">
        <v>0</v>
      </c>
      <c r="E15" s="223" t="s">
        <v>784</v>
      </c>
      <c r="F15" s="14"/>
      <c r="G15" s="149" t="s">
        <v>843</v>
      </c>
      <c r="H15" s="14" t="b">
        <v>0</v>
      </c>
      <c r="I15" s="14" t="b">
        <v>0</v>
      </c>
      <c r="J15" s="151" t="s">
        <v>827</v>
      </c>
      <c r="K15" s="14"/>
      <c r="L15" s="149" t="s">
        <v>844</v>
      </c>
      <c r="M15" s="14" t="b">
        <v>0</v>
      </c>
      <c r="N15" s="14" t="b">
        <v>0</v>
      </c>
      <c r="O15" s="154" t="s">
        <v>351</v>
      </c>
      <c r="P15" s="14"/>
      <c r="Q15" s="149" t="s">
        <v>845</v>
      </c>
      <c r="R15" s="14" t="b">
        <v>1</v>
      </c>
      <c r="S15" s="14" t="b">
        <v>1</v>
      </c>
      <c r="T15" s="154" t="s">
        <v>313</v>
      </c>
      <c r="V15" s="10" t="str">
        <f>L22</f>
        <v>Whip/B. Whip</v>
      </c>
      <c r="W15">
        <f>COUNTIF(M23:M34, "TRUE")</f>
        <v>8</v>
      </c>
      <c r="X15" s="12">
        <f>COUNTIF(N23:N34, "TRUE")</f>
        <v>4</v>
      </c>
    </row>
    <row r="16" spans="2:25" ht="13">
      <c r="B16" s="149" t="s">
        <v>846</v>
      </c>
      <c r="C16" s="14" t="b">
        <v>0</v>
      </c>
      <c r="D16" s="14" t="b">
        <v>0</v>
      </c>
      <c r="E16" s="229" t="s">
        <v>503</v>
      </c>
      <c r="F16" s="14"/>
      <c r="G16" s="162" t="s">
        <v>847</v>
      </c>
      <c r="H16" s="163" t="b">
        <v>1</v>
      </c>
      <c r="I16" s="163" t="b">
        <v>1</v>
      </c>
      <c r="J16" s="191" t="s">
        <v>348</v>
      </c>
      <c r="K16" s="14"/>
      <c r="L16" s="149" t="s">
        <v>848</v>
      </c>
      <c r="M16" s="14" t="b">
        <v>1</v>
      </c>
      <c r="N16" s="14" t="b">
        <v>1</v>
      </c>
      <c r="O16" s="154" t="s">
        <v>299</v>
      </c>
      <c r="P16" s="14"/>
      <c r="Q16" s="149" t="s">
        <v>849</v>
      </c>
      <c r="R16" s="14" t="b">
        <v>1</v>
      </c>
      <c r="S16" s="14" t="b">
        <v>1</v>
      </c>
      <c r="T16" s="156" t="s">
        <v>850</v>
      </c>
      <c r="V16" s="10" t="str">
        <f>L36</f>
        <v>Glaive</v>
      </c>
      <c r="W16">
        <f>COUNTIF(M37:M45, "TRUE")</f>
        <v>5</v>
      </c>
      <c r="X16" s="12">
        <f>COUNTIF(N37:N45, "TRUE")</f>
        <v>4</v>
      </c>
    </row>
    <row r="17" spans="2:24" ht="13">
      <c r="B17" s="149" t="s">
        <v>851</v>
      </c>
      <c r="C17" s="14" t="b">
        <v>1</v>
      </c>
      <c r="D17" s="14" t="b">
        <v>1</v>
      </c>
      <c r="E17" s="223" t="s">
        <v>784</v>
      </c>
      <c r="F17" s="14"/>
      <c r="G17" s="14"/>
      <c r="H17" s="14"/>
      <c r="I17" s="14"/>
      <c r="J17" s="14"/>
      <c r="K17" s="14"/>
      <c r="L17" s="149" t="s">
        <v>852</v>
      </c>
      <c r="M17" s="14" t="b">
        <v>1</v>
      </c>
      <c r="N17" s="14" t="b">
        <v>1</v>
      </c>
      <c r="O17" s="210" t="s">
        <v>853</v>
      </c>
      <c r="P17" s="14"/>
      <c r="Q17" s="10" t="s">
        <v>854</v>
      </c>
      <c r="R17" s="14" t="b">
        <v>0</v>
      </c>
      <c r="S17" s="14" t="b">
        <v>0</v>
      </c>
      <c r="T17" s="155" t="s">
        <v>782</v>
      </c>
      <c r="V17" s="10" t="str">
        <f>L47</f>
        <v>Tonfa/Nunchaku</v>
      </c>
      <c r="W17">
        <f>COUNTIF(M48:M57, "TRUE")</f>
        <v>8</v>
      </c>
      <c r="X17" s="12">
        <f>COUNTIF(N48:N57, "TRUE")</f>
        <v>6</v>
      </c>
    </row>
    <row r="18" spans="2:24" ht="13">
      <c r="B18" s="10" t="s">
        <v>855</v>
      </c>
      <c r="C18" s="14" t="b">
        <v>0</v>
      </c>
      <c r="D18" s="14" t="b">
        <v>0</v>
      </c>
      <c r="E18" s="179" t="s">
        <v>406</v>
      </c>
      <c r="F18" s="14"/>
      <c r="G18" s="20" t="s">
        <v>856</v>
      </c>
      <c r="H18" s="103" t="s">
        <v>86</v>
      </c>
      <c r="I18" s="103" t="s">
        <v>87</v>
      </c>
      <c r="J18" s="103" t="s">
        <v>110</v>
      </c>
      <c r="K18" s="14"/>
      <c r="L18" s="149" t="s">
        <v>857</v>
      </c>
      <c r="M18" s="14" t="b">
        <v>1</v>
      </c>
      <c r="N18" s="14" t="b">
        <v>1</v>
      </c>
      <c r="O18" s="224" t="s">
        <v>858</v>
      </c>
      <c r="P18" s="14"/>
      <c r="Q18" s="10" t="s">
        <v>859</v>
      </c>
      <c r="R18" s="14" t="b">
        <v>0</v>
      </c>
      <c r="S18" s="14" t="b">
        <v>0</v>
      </c>
      <c r="T18" s="155" t="s">
        <v>372</v>
      </c>
      <c r="V18" s="10" t="str">
        <f>L59</f>
        <v>MK1</v>
      </c>
      <c r="W18">
        <f>COUNTIF(M60:M61, "TRUE")</f>
        <v>2</v>
      </c>
      <c r="X18" s="12">
        <f>COUNTIF(N60:N61, "TRUE")</f>
        <v>2</v>
      </c>
    </row>
    <row r="19" spans="2:24" ht="13">
      <c r="B19" s="149" t="s">
        <v>860</v>
      </c>
      <c r="C19" s="14" t="b">
        <v>1</v>
      </c>
      <c r="D19" s="14" t="b">
        <v>1</v>
      </c>
      <c r="E19" s="152" t="s">
        <v>305</v>
      </c>
      <c r="F19" s="14"/>
      <c r="G19" s="149" t="s">
        <v>861</v>
      </c>
      <c r="H19" s="14" t="b">
        <v>1</v>
      </c>
      <c r="I19" s="14" t="b">
        <v>1</v>
      </c>
      <c r="J19" s="157" t="s">
        <v>348</v>
      </c>
      <c r="K19" s="14"/>
      <c r="L19" s="149" t="s">
        <v>862</v>
      </c>
      <c r="M19" s="14" t="b">
        <v>1</v>
      </c>
      <c r="N19" s="14" t="b">
        <v>1</v>
      </c>
      <c r="O19" s="157" t="s">
        <v>348</v>
      </c>
      <c r="P19" s="14"/>
      <c r="Q19" s="149" t="s">
        <v>863</v>
      </c>
      <c r="R19" s="14" t="b">
        <v>0</v>
      </c>
      <c r="S19" s="14" t="b">
        <v>0</v>
      </c>
      <c r="T19" s="156" t="s">
        <v>864</v>
      </c>
      <c r="V19" s="10" t="str">
        <f>Q2</f>
        <v>Scythe</v>
      </c>
      <c r="W19">
        <f>COUNTIF(R3:R8, "TRUE")</f>
        <v>4</v>
      </c>
      <c r="X19" s="12">
        <f>COUNTIF(S3:S8, "TRUE")</f>
        <v>3</v>
      </c>
    </row>
    <row r="20" spans="2:24" ht="13">
      <c r="B20" s="149" t="s">
        <v>865</v>
      </c>
      <c r="C20" s="14" t="b">
        <v>1</v>
      </c>
      <c r="D20" s="14" t="b">
        <v>1</v>
      </c>
      <c r="E20" s="180" t="s">
        <v>271</v>
      </c>
      <c r="F20" s="14"/>
      <c r="G20" s="149" t="s">
        <v>866</v>
      </c>
      <c r="H20" s="14" t="b">
        <v>1</v>
      </c>
      <c r="I20" s="14" t="b">
        <v>1</v>
      </c>
      <c r="J20" s="156" t="s">
        <v>867</v>
      </c>
      <c r="K20" s="14"/>
      <c r="L20" s="15" t="s">
        <v>868</v>
      </c>
      <c r="M20" s="16" t="b">
        <v>1</v>
      </c>
      <c r="N20" s="16" t="b">
        <v>1</v>
      </c>
      <c r="O20" s="172" t="s">
        <v>396</v>
      </c>
      <c r="P20" s="14"/>
      <c r="Q20" s="10" t="s">
        <v>869</v>
      </c>
      <c r="R20" s="14" t="b">
        <v>0</v>
      </c>
      <c r="S20" s="14" t="b">
        <v>0</v>
      </c>
      <c r="T20" s="155" t="s">
        <v>341</v>
      </c>
      <c r="V20" s="10" t="str">
        <f>Q10</f>
        <v>Hammer</v>
      </c>
      <c r="W20">
        <f>COUNTIF(R11:R22, "TRUE")</f>
        <v>5</v>
      </c>
      <c r="X20" s="12">
        <f>COUNTIF(S11:S22, "TRUE")</f>
        <v>5</v>
      </c>
    </row>
    <row r="21" spans="2:24" ht="12.5">
      <c r="B21" s="149" t="s">
        <v>870</v>
      </c>
      <c r="C21" s="14" t="b">
        <v>1</v>
      </c>
      <c r="D21" s="14" t="b">
        <v>1</v>
      </c>
      <c r="E21" s="180" t="s">
        <v>871</v>
      </c>
      <c r="F21" s="14"/>
      <c r="G21" s="149" t="s">
        <v>872</v>
      </c>
      <c r="H21" s="14" t="b">
        <v>1</v>
      </c>
      <c r="I21" s="14" t="b">
        <v>0</v>
      </c>
      <c r="J21" s="154" t="s">
        <v>299</v>
      </c>
      <c r="K21" s="14"/>
      <c r="L21" s="14"/>
      <c r="M21" s="14"/>
      <c r="N21" s="14"/>
      <c r="O21" s="14"/>
      <c r="P21" s="14"/>
      <c r="Q21" s="149" t="s">
        <v>873</v>
      </c>
      <c r="R21" s="14" t="b">
        <v>1</v>
      </c>
      <c r="S21" s="14" t="b">
        <v>1</v>
      </c>
      <c r="T21" s="152" t="s">
        <v>305</v>
      </c>
      <c r="V21" s="10" t="str">
        <f>Q24</f>
        <v>Rapier</v>
      </c>
      <c r="W21">
        <f>COUNTIF(R25:R26, "TRUE")</f>
        <v>2</v>
      </c>
      <c r="X21" s="12">
        <f>COUNTIF(S25:S26, "TRUE")</f>
        <v>2</v>
      </c>
    </row>
    <row r="22" spans="2:24" ht="13">
      <c r="B22" s="149" t="s">
        <v>874</v>
      </c>
      <c r="C22" s="14" t="b">
        <v>0</v>
      </c>
      <c r="D22" s="14" t="b">
        <v>0</v>
      </c>
      <c r="E22" s="159" t="s">
        <v>782</v>
      </c>
      <c r="F22" s="14"/>
      <c r="G22" s="10" t="s">
        <v>875</v>
      </c>
      <c r="H22" s="14" t="b">
        <v>0</v>
      </c>
      <c r="I22" s="14" t="b">
        <v>0</v>
      </c>
      <c r="J22" s="230" t="s">
        <v>876</v>
      </c>
      <c r="K22" s="14"/>
      <c r="L22" s="100" t="s">
        <v>877</v>
      </c>
      <c r="M22" s="101" t="s">
        <v>86</v>
      </c>
      <c r="N22" s="101" t="s">
        <v>87</v>
      </c>
      <c r="O22" s="101" t="s">
        <v>110</v>
      </c>
      <c r="P22" s="14"/>
      <c r="Q22" s="162" t="s">
        <v>878</v>
      </c>
      <c r="R22" s="163" t="b">
        <v>0</v>
      </c>
      <c r="S22" s="163" t="b">
        <v>0</v>
      </c>
      <c r="T22" s="231" t="s">
        <v>879</v>
      </c>
      <c r="V22" s="10" t="str">
        <f>Q28</f>
        <v>Claws</v>
      </c>
      <c r="W22">
        <f>COUNTIF(R29:R31, "TRUE")</f>
        <v>3</v>
      </c>
      <c r="X22" s="12">
        <f>COUNTIF(S29:S31, "TRUE")</f>
        <v>2</v>
      </c>
    </row>
    <row r="23" spans="2:24" ht="12.5">
      <c r="B23" s="162" t="s">
        <v>880</v>
      </c>
      <c r="C23" s="14" t="b">
        <v>1</v>
      </c>
      <c r="D23" s="163" t="b">
        <v>1</v>
      </c>
      <c r="E23" s="184" t="s">
        <v>305</v>
      </c>
      <c r="F23" s="14"/>
      <c r="G23" s="10" t="s">
        <v>881</v>
      </c>
      <c r="H23" s="14" t="b">
        <v>1</v>
      </c>
      <c r="I23" s="14" t="b">
        <v>1</v>
      </c>
      <c r="J23" s="179" t="s">
        <v>406</v>
      </c>
      <c r="K23" s="14"/>
      <c r="L23" s="146" t="s">
        <v>882</v>
      </c>
      <c r="M23" s="147" t="b">
        <v>1</v>
      </c>
      <c r="N23" s="147" t="b">
        <v>1</v>
      </c>
      <c r="O23" s="226" t="s">
        <v>305</v>
      </c>
      <c r="P23" s="14"/>
      <c r="V23" s="10" t="str">
        <f>Q33</f>
        <v>Prime</v>
      </c>
      <c r="W23">
        <f>COUNTIF(R34:R72, "TRUE")</f>
        <v>2</v>
      </c>
      <c r="X23" s="12">
        <f>COUNTIF(S34:S72, "TRUE")</f>
        <v>2</v>
      </c>
    </row>
    <row r="24" spans="2:24" ht="13">
      <c r="F24" s="14"/>
      <c r="G24" s="149" t="s">
        <v>883</v>
      </c>
      <c r="H24" s="14" t="b">
        <v>1</v>
      </c>
      <c r="I24" s="14" t="b">
        <v>1</v>
      </c>
      <c r="J24" s="152" t="s">
        <v>305</v>
      </c>
      <c r="K24" s="14"/>
      <c r="L24" s="149" t="s">
        <v>884</v>
      </c>
      <c r="M24" s="14" t="b">
        <v>1</v>
      </c>
      <c r="N24" s="14" t="b">
        <v>1</v>
      </c>
      <c r="O24" s="151" t="s">
        <v>885</v>
      </c>
      <c r="P24" s="14"/>
      <c r="Q24" s="20" t="s">
        <v>886</v>
      </c>
      <c r="R24" s="103" t="s">
        <v>86</v>
      </c>
      <c r="S24" s="103" t="s">
        <v>87</v>
      </c>
      <c r="T24" s="104" t="s">
        <v>110</v>
      </c>
      <c r="V24" s="149" t="s">
        <v>887</v>
      </c>
      <c r="W24" s="232">
        <f>COUNTIF(H63, "TRUE")</f>
        <v>0</v>
      </c>
      <c r="X24" s="42">
        <f>COUNTIF(I63, "TRUE")</f>
        <v>0</v>
      </c>
    </row>
    <row r="25" spans="2:24" ht="13">
      <c r="B25" s="100" t="s">
        <v>888</v>
      </c>
      <c r="C25" s="101" t="s">
        <v>86</v>
      </c>
      <c r="D25" s="101" t="s">
        <v>87</v>
      </c>
      <c r="E25" s="101" t="s">
        <v>110</v>
      </c>
      <c r="F25" s="14"/>
      <c r="G25" s="149" t="s">
        <v>889</v>
      </c>
      <c r="H25" s="14" t="b">
        <v>1</v>
      </c>
      <c r="I25" s="14" t="b">
        <v>1</v>
      </c>
      <c r="J25" s="211" t="s">
        <v>406</v>
      </c>
      <c r="K25" s="14"/>
      <c r="L25" s="149" t="s">
        <v>890</v>
      </c>
      <c r="M25" s="14" t="b">
        <v>1</v>
      </c>
      <c r="N25" s="14" t="b">
        <v>0</v>
      </c>
      <c r="O25" s="233" t="s">
        <v>891</v>
      </c>
      <c r="P25" s="14"/>
      <c r="Q25" s="149" t="s">
        <v>892</v>
      </c>
      <c r="R25" s="14" t="b">
        <v>1</v>
      </c>
      <c r="S25" s="14" t="b">
        <v>1</v>
      </c>
      <c r="T25" s="127" t="s">
        <v>305</v>
      </c>
      <c r="V25" s="10" t="str">
        <f>G65</f>
        <v>Heavy Scythes</v>
      </c>
      <c r="W25">
        <f>COUNTIF(H66:H68, "TRUE")</f>
        <v>2</v>
      </c>
      <c r="X25" s="12">
        <f>COUNTIF(I66:I68, "TRUE")</f>
        <v>1</v>
      </c>
    </row>
    <row r="26" spans="2:24" ht="12.5">
      <c r="B26" s="114" t="s">
        <v>893</v>
      </c>
      <c r="C26" s="4" t="b">
        <v>1</v>
      </c>
      <c r="D26" s="4" t="b">
        <v>1</v>
      </c>
      <c r="E26" s="234" t="s">
        <v>388</v>
      </c>
      <c r="F26" s="14"/>
      <c r="G26" s="149" t="s">
        <v>894</v>
      </c>
      <c r="H26" s="14" t="b">
        <v>1</v>
      </c>
      <c r="I26" s="14" t="b">
        <v>1</v>
      </c>
      <c r="J26" s="154" t="s">
        <v>299</v>
      </c>
      <c r="K26" s="14"/>
      <c r="L26" s="149" t="s">
        <v>895</v>
      </c>
      <c r="M26" s="14" t="b">
        <v>1</v>
      </c>
      <c r="N26" s="14" t="b">
        <v>0</v>
      </c>
      <c r="O26" s="152" t="s">
        <v>305</v>
      </c>
      <c r="P26" s="14"/>
      <c r="Q26" s="162" t="s">
        <v>896</v>
      </c>
      <c r="R26" s="163" t="b">
        <v>1</v>
      </c>
      <c r="S26" s="163" t="b">
        <v>1</v>
      </c>
      <c r="T26" s="235" t="s">
        <v>348</v>
      </c>
      <c r="V26" s="149" t="s">
        <v>352</v>
      </c>
      <c r="W26" s="232">
        <f>SUM(COUNTIF(R75, "TRUE"),COUNTIF(R77, "TRUE"))</f>
        <v>0</v>
      </c>
      <c r="X26" s="42">
        <f>SUM(COUNTIF(S75, "TRUE"),COUNTIF(S77, "TRUE"))</f>
        <v>0</v>
      </c>
    </row>
    <row r="27" spans="2:24" ht="13">
      <c r="B27" s="149" t="s">
        <v>897</v>
      </c>
      <c r="C27" s="14" t="b">
        <v>1</v>
      </c>
      <c r="D27" s="14" t="b">
        <v>1</v>
      </c>
      <c r="E27" s="236" t="s">
        <v>898</v>
      </c>
      <c r="F27" s="143"/>
      <c r="G27" s="32" t="s">
        <v>899</v>
      </c>
      <c r="H27" s="14" t="b">
        <v>0</v>
      </c>
      <c r="I27" s="14" t="b">
        <v>0</v>
      </c>
      <c r="J27" s="182" t="s">
        <v>406</v>
      </c>
      <c r="K27" s="14"/>
      <c r="L27" s="149" t="s">
        <v>900</v>
      </c>
      <c r="M27" s="14" t="b">
        <v>1</v>
      </c>
      <c r="N27" s="14" t="b">
        <v>0</v>
      </c>
      <c r="O27" s="157" t="s">
        <v>313</v>
      </c>
      <c r="P27" s="14"/>
      <c r="Q27" s="14"/>
      <c r="R27" s="14"/>
      <c r="S27" s="14"/>
      <c r="T27" s="14"/>
      <c r="V27" s="10" t="s">
        <v>358</v>
      </c>
      <c r="W27">
        <f>COUNTIF(R81:R88, "TRUE")</f>
        <v>0</v>
      </c>
      <c r="X27" s="12">
        <f>SUM(COUNTIF(S81, "TRUE"),COUNTIF(S83, "TRUE"),COUNTIF(S85, "TRUE"),COUNTIF(S87, "TRUE"))</f>
        <v>0</v>
      </c>
    </row>
    <row r="28" spans="2:24" ht="13">
      <c r="B28" s="149" t="s">
        <v>901</v>
      </c>
      <c r="C28" s="14" t="b">
        <v>1</v>
      </c>
      <c r="D28" s="14" t="b">
        <v>1</v>
      </c>
      <c r="E28" s="127" t="s">
        <v>305</v>
      </c>
      <c r="F28" s="14"/>
      <c r="G28" s="149" t="s">
        <v>902</v>
      </c>
      <c r="H28" s="163" t="b">
        <v>1</v>
      </c>
      <c r="I28" s="163" t="b">
        <v>0</v>
      </c>
      <c r="J28" s="217" t="s">
        <v>506</v>
      </c>
      <c r="K28" s="14"/>
      <c r="L28" s="149" t="s">
        <v>903</v>
      </c>
      <c r="M28" s="14" t="b">
        <v>1</v>
      </c>
      <c r="N28" s="14" t="b">
        <v>1</v>
      </c>
      <c r="O28" s="157" t="s">
        <v>348</v>
      </c>
      <c r="P28" s="14"/>
      <c r="Q28" s="100" t="s">
        <v>904</v>
      </c>
      <c r="R28" s="101" t="s">
        <v>86</v>
      </c>
      <c r="S28" s="101" t="s">
        <v>87</v>
      </c>
      <c r="T28" s="102" t="s">
        <v>110</v>
      </c>
      <c r="V28" s="15" t="s">
        <v>361</v>
      </c>
      <c r="W28" s="16">
        <f>COUNTIF(M64:M73, "TRUE")</f>
        <v>0</v>
      </c>
      <c r="X28" s="17">
        <f>SUM(COUNTIF(N64, "TRUE"),COUNTIF(N66, "TRUE"),COUNTIF(N68, "TRUE"),COUNTIF(N70, "TRUE"),COUNTIF(N72, "TRUE"))</f>
        <v>0</v>
      </c>
    </row>
    <row r="29" spans="2:24" ht="13">
      <c r="B29" s="149" t="s">
        <v>905</v>
      </c>
      <c r="C29" s="14" t="b">
        <v>1</v>
      </c>
      <c r="D29" s="14" t="b">
        <v>1</v>
      </c>
      <c r="E29" s="127" t="s">
        <v>305</v>
      </c>
      <c r="F29" s="14"/>
      <c r="G29" s="237"/>
      <c r="K29" s="14"/>
      <c r="L29" s="149" t="s">
        <v>906</v>
      </c>
      <c r="M29" s="14" t="b">
        <v>1</v>
      </c>
      <c r="N29" s="14" t="b">
        <v>1</v>
      </c>
      <c r="O29" s="152" t="s">
        <v>305</v>
      </c>
      <c r="P29" s="14"/>
      <c r="Q29" s="146" t="s">
        <v>907</v>
      </c>
      <c r="R29" s="147" t="b">
        <v>1</v>
      </c>
      <c r="S29" s="147" t="b">
        <v>1</v>
      </c>
      <c r="T29" s="238" t="s">
        <v>908</v>
      </c>
      <c r="V29" s="239" t="s">
        <v>55</v>
      </c>
      <c r="W29" s="240">
        <f t="shared" ref="W29:X29" si="0">SUM(W3:W28)</f>
        <v>121</v>
      </c>
      <c r="X29" s="241">
        <f t="shared" si="0"/>
        <v>99</v>
      </c>
    </row>
    <row r="30" spans="2:24" ht="13">
      <c r="B30" s="149" t="s">
        <v>909</v>
      </c>
      <c r="C30" s="14" t="b">
        <v>0</v>
      </c>
      <c r="D30" s="14" t="b">
        <v>0</v>
      </c>
      <c r="E30" s="132" t="s">
        <v>351</v>
      </c>
      <c r="F30" s="14"/>
      <c r="G30" s="242" t="s">
        <v>910</v>
      </c>
      <c r="H30" s="101" t="s">
        <v>86</v>
      </c>
      <c r="I30" s="101" t="s">
        <v>87</v>
      </c>
      <c r="J30" s="101" t="s">
        <v>110</v>
      </c>
      <c r="K30" s="14"/>
      <c r="L30" s="149" t="s">
        <v>911</v>
      </c>
      <c r="M30" s="14" t="b">
        <v>0</v>
      </c>
      <c r="N30" s="14" t="b">
        <v>0</v>
      </c>
      <c r="O30" s="157" t="s">
        <v>351</v>
      </c>
      <c r="P30" s="14"/>
      <c r="Q30" s="149" t="s">
        <v>912</v>
      </c>
      <c r="R30" s="14" t="b">
        <v>1</v>
      </c>
      <c r="S30" s="14" t="b">
        <v>1</v>
      </c>
      <c r="T30" s="117" t="s">
        <v>348</v>
      </c>
      <c r="V30" s="239" t="s">
        <v>913</v>
      </c>
      <c r="W30" s="240"/>
      <c r="X30" s="241">
        <f>COUNTA(D3:D23,D26:D40,D43:D47,D49:D53,D56:D66,I3:I10,I13:I16,I19:I28,I31:I40,I43:I48,I51:I54,I57:I60,I63,I66:I68,N3:N20,N23:N34,N37:N45,N48:N57,N60:N61,S3:S8,S11:S22,S25:S26,S29:S31,S34:S72,S75, S77,S81,S83,S85,S87,N64,N66,N68,N70,N72)</f>
        <v>231</v>
      </c>
    </row>
    <row r="31" spans="2:24" ht="13">
      <c r="B31" s="149" t="s">
        <v>914</v>
      </c>
      <c r="C31" s="14" t="b">
        <v>1</v>
      </c>
      <c r="D31" s="14" t="b">
        <v>1</v>
      </c>
      <c r="E31" s="236" t="s">
        <v>915</v>
      </c>
      <c r="F31" s="14"/>
      <c r="G31" s="146" t="s">
        <v>916</v>
      </c>
      <c r="H31" s="147" t="b">
        <v>1</v>
      </c>
      <c r="I31" s="147" t="b">
        <v>1</v>
      </c>
      <c r="J31" s="205" t="s">
        <v>917</v>
      </c>
      <c r="K31" s="14"/>
      <c r="L31" s="149" t="s">
        <v>918</v>
      </c>
      <c r="M31" s="14" t="b">
        <v>0</v>
      </c>
      <c r="N31" s="14" t="b">
        <v>0</v>
      </c>
      <c r="O31" s="154" t="s">
        <v>351</v>
      </c>
      <c r="P31" s="14"/>
      <c r="Q31" s="162" t="s">
        <v>919</v>
      </c>
      <c r="R31" s="163" t="b">
        <v>1</v>
      </c>
      <c r="S31" s="163" t="b">
        <v>0</v>
      </c>
      <c r="T31" s="243" t="s">
        <v>318</v>
      </c>
      <c r="V31" s="123" t="s">
        <v>920</v>
      </c>
      <c r="W31" s="124"/>
      <c r="X31" s="125">
        <f>SUM(COUNTIF(D48, "TRUE"),COUNTIF(S76, "TRUE"),COUNTIF(S78, "TRUE"),COUNTIF(S82, "TRUE"),COUNTIF(S84, "TRUE"),COUNTIF(S86, "TRUE"),COUNTIF(S88, "TRUE"),COUNTIF(N65, "TRUE"),COUNTIF(N67, "TRUE"),COUNTIF(N69, "TRUE"),COUNTIF(N71, "TRUE"),COUNTIF(N73, "TRUE"))</f>
        <v>0</v>
      </c>
    </row>
    <row r="32" spans="2:24" ht="13">
      <c r="B32" s="10" t="s">
        <v>921</v>
      </c>
      <c r="C32" s="14" t="b">
        <v>1</v>
      </c>
      <c r="D32" s="14" t="b">
        <v>0</v>
      </c>
      <c r="E32" s="128" t="s">
        <v>305</v>
      </c>
      <c r="F32" s="14"/>
      <c r="G32" s="149" t="s">
        <v>922</v>
      </c>
      <c r="H32" s="14" t="b">
        <v>1</v>
      </c>
      <c r="I32" s="14" t="b">
        <v>1</v>
      </c>
      <c r="J32" s="156" t="s">
        <v>923</v>
      </c>
      <c r="K32" s="14"/>
      <c r="L32" s="10" t="s">
        <v>924</v>
      </c>
      <c r="M32" s="14" t="b">
        <v>0</v>
      </c>
      <c r="N32" s="14" t="b">
        <v>0</v>
      </c>
      <c r="O32" s="155" t="s">
        <v>329</v>
      </c>
      <c r="P32" s="14"/>
      <c r="V32" s="13" t="s">
        <v>925</v>
      </c>
      <c r="X32">
        <f>SUMPRODUCT((M64:M72=TRUE)*(N65:N73=FALSE)) + SUMPRODUCT((R75:R77=TRUE)*(S76:S78=FALSE)) + SUMPRODUCT((R81:R87=TRUE)*(S82:S88=FALSE)) + (C47=TRUE)*(D48=FALSE)</f>
        <v>0</v>
      </c>
    </row>
    <row r="33" spans="2:20" ht="13">
      <c r="B33" s="149" t="s">
        <v>926</v>
      </c>
      <c r="C33" s="14" t="b">
        <v>1</v>
      </c>
      <c r="D33" s="14" t="b">
        <v>0</v>
      </c>
      <c r="E33" s="244" t="s">
        <v>927</v>
      </c>
      <c r="F33" s="14"/>
      <c r="G33" s="10" t="s">
        <v>928</v>
      </c>
      <c r="H33" s="14" t="b">
        <v>0</v>
      </c>
      <c r="I33" s="14" t="b">
        <v>0</v>
      </c>
      <c r="J33" s="168" t="s">
        <v>929</v>
      </c>
      <c r="K33" s="14"/>
      <c r="L33" s="149" t="s">
        <v>930</v>
      </c>
      <c r="M33" s="14" t="b">
        <v>1</v>
      </c>
      <c r="N33" s="14" t="b">
        <v>0</v>
      </c>
      <c r="O33" s="151" t="s">
        <v>725</v>
      </c>
      <c r="P33" s="14"/>
      <c r="Q33" s="100" t="s">
        <v>567</v>
      </c>
      <c r="R33" s="101" t="s">
        <v>86</v>
      </c>
      <c r="S33" s="101" t="s">
        <v>87</v>
      </c>
      <c r="T33" s="102" t="s">
        <v>110</v>
      </c>
    </row>
    <row r="34" spans="2:20" ht="13">
      <c r="B34" s="149" t="s">
        <v>931</v>
      </c>
      <c r="C34" s="14" t="b">
        <v>1</v>
      </c>
      <c r="D34" s="14" t="b">
        <v>1</v>
      </c>
      <c r="E34" s="236" t="s">
        <v>932</v>
      </c>
      <c r="F34" s="14"/>
      <c r="G34" s="149" t="s">
        <v>933</v>
      </c>
      <c r="H34" s="14" t="b">
        <v>1</v>
      </c>
      <c r="I34" s="14" t="b">
        <v>1</v>
      </c>
      <c r="J34" s="156" t="s">
        <v>934</v>
      </c>
      <c r="K34" s="14"/>
      <c r="L34" s="15" t="s">
        <v>935</v>
      </c>
      <c r="M34" s="16" t="b">
        <v>0</v>
      </c>
      <c r="N34" s="16" t="b">
        <v>0</v>
      </c>
      <c r="O34" s="212" t="s">
        <v>936</v>
      </c>
      <c r="P34" s="14"/>
      <c r="Q34" s="114" t="s">
        <v>937</v>
      </c>
      <c r="R34" s="4" t="b">
        <v>0</v>
      </c>
      <c r="S34" s="4" t="b">
        <v>0</v>
      </c>
      <c r="T34" s="113" t="s">
        <v>115</v>
      </c>
    </row>
    <row r="35" spans="2:20" ht="13">
      <c r="B35" s="149" t="s">
        <v>938</v>
      </c>
      <c r="C35" s="14" t="b">
        <v>1</v>
      </c>
      <c r="D35" s="14" t="b">
        <v>0</v>
      </c>
      <c r="E35" s="245" t="s">
        <v>331</v>
      </c>
      <c r="F35" s="14"/>
      <c r="G35" s="149" t="s">
        <v>939</v>
      </c>
      <c r="H35" s="14" t="b">
        <v>1</v>
      </c>
      <c r="I35" s="14" t="b">
        <v>1</v>
      </c>
      <c r="J35" s="156" t="s">
        <v>940</v>
      </c>
      <c r="K35" s="14"/>
      <c r="P35" s="14"/>
      <c r="Q35" s="10" t="s">
        <v>941</v>
      </c>
      <c r="R35" s="13" t="b">
        <v>0</v>
      </c>
      <c r="S35" s="13" t="b">
        <v>0</v>
      </c>
      <c r="T35" s="113" t="s">
        <v>115</v>
      </c>
    </row>
    <row r="36" spans="2:20" ht="13">
      <c r="B36" s="149" t="s">
        <v>942</v>
      </c>
      <c r="C36" s="14" t="b">
        <v>1</v>
      </c>
      <c r="D36" s="14" t="b">
        <v>1</v>
      </c>
      <c r="E36" s="236" t="s">
        <v>588</v>
      </c>
      <c r="F36" s="14"/>
      <c r="G36" s="149" t="s">
        <v>943</v>
      </c>
      <c r="H36" s="14" t="b">
        <v>0</v>
      </c>
      <c r="I36" s="14" t="b">
        <v>0</v>
      </c>
      <c r="J36" s="145" t="s">
        <v>944</v>
      </c>
      <c r="K36" s="14"/>
      <c r="L36" s="100" t="s">
        <v>945</v>
      </c>
      <c r="M36" s="101" t="s">
        <v>86</v>
      </c>
      <c r="N36" s="101" t="s">
        <v>87</v>
      </c>
      <c r="O36" s="101" t="s">
        <v>110</v>
      </c>
      <c r="P36" s="14"/>
      <c r="Q36" s="10" t="s">
        <v>946</v>
      </c>
      <c r="R36" s="13" t="b">
        <v>0</v>
      </c>
      <c r="S36" s="13" t="b">
        <v>0</v>
      </c>
      <c r="T36" s="113" t="s">
        <v>115</v>
      </c>
    </row>
    <row r="37" spans="2:20" ht="12.5">
      <c r="B37" s="149" t="s">
        <v>947</v>
      </c>
      <c r="C37" s="14" t="b">
        <v>1</v>
      </c>
      <c r="D37" s="14" t="b">
        <v>1</v>
      </c>
      <c r="E37" s="117" t="s">
        <v>348</v>
      </c>
      <c r="F37" s="14"/>
      <c r="G37" s="149" t="s">
        <v>948</v>
      </c>
      <c r="H37" s="14" t="b">
        <v>1</v>
      </c>
      <c r="I37" s="14" t="b">
        <v>1</v>
      </c>
      <c r="J37" s="152" t="s">
        <v>305</v>
      </c>
      <c r="K37" s="14"/>
      <c r="L37" s="146" t="s">
        <v>949</v>
      </c>
      <c r="M37" s="147" t="b">
        <v>0</v>
      </c>
      <c r="N37" s="147" t="b">
        <v>0</v>
      </c>
      <c r="O37" s="174" t="s">
        <v>351</v>
      </c>
      <c r="P37" s="14"/>
      <c r="Q37" s="10" t="s">
        <v>950</v>
      </c>
      <c r="R37" s="13" t="b">
        <v>0</v>
      </c>
      <c r="S37" s="13" t="b">
        <v>0</v>
      </c>
      <c r="T37" s="113" t="s">
        <v>115</v>
      </c>
    </row>
    <row r="38" spans="2:20" ht="12.5">
      <c r="B38" s="10" t="s">
        <v>951</v>
      </c>
      <c r="C38" s="14" t="b">
        <v>0</v>
      </c>
      <c r="D38" s="14" t="b">
        <v>0</v>
      </c>
      <c r="E38" s="246" t="s">
        <v>406</v>
      </c>
      <c r="F38" s="14"/>
      <c r="G38" s="10" t="s">
        <v>952</v>
      </c>
      <c r="H38" s="14" t="b">
        <v>0</v>
      </c>
      <c r="I38" s="14" t="b">
        <v>0</v>
      </c>
      <c r="J38" s="179" t="s">
        <v>406</v>
      </c>
      <c r="K38" s="14"/>
      <c r="L38" s="149" t="s">
        <v>953</v>
      </c>
      <c r="M38" s="14" t="b">
        <v>1</v>
      </c>
      <c r="N38" s="14" t="b">
        <v>1</v>
      </c>
      <c r="O38" s="233" t="s">
        <v>299</v>
      </c>
      <c r="P38" s="14"/>
      <c r="Q38" s="10" t="s">
        <v>954</v>
      </c>
      <c r="R38" s="13" t="b">
        <v>0</v>
      </c>
      <c r="S38" s="13" t="b">
        <v>0</v>
      </c>
      <c r="T38" s="113" t="s">
        <v>115</v>
      </c>
    </row>
    <row r="39" spans="2:20" ht="13">
      <c r="B39" s="149" t="s">
        <v>955</v>
      </c>
      <c r="C39" s="14" t="b">
        <v>1</v>
      </c>
      <c r="D39" s="14" t="b">
        <v>1</v>
      </c>
      <c r="E39" s="236" t="s">
        <v>956</v>
      </c>
      <c r="F39" s="14"/>
      <c r="G39" s="149" t="s">
        <v>957</v>
      </c>
      <c r="H39" s="14" t="b">
        <v>1</v>
      </c>
      <c r="I39" s="14" t="b">
        <v>0</v>
      </c>
      <c r="J39" s="151" t="s">
        <v>958</v>
      </c>
      <c r="K39" s="14"/>
      <c r="L39" s="149" t="s">
        <v>945</v>
      </c>
      <c r="M39" s="14" t="b">
        <v>0</v>
      </c>
      <c r="N39" s="14" t="b">
        <v>0</v>
      </c>
      <c r="O39" s="223" t="s">
        <v>784</v>
      </c>
      <c r="P39" s="14"/>
      <c r="Q39" s="10" t="s">
        <v>959</v>
      </c>
      <c r="R39" s="13" t="b">
        <v>0</v>
      </c>
      <c r="S39" s="13" t="b">
        <v>0</v>
      </c>
      <c r="T39" s="113" t="s">
        <v>115</v>
      </c>
    </row>
    <row r="40" spans="2:20" ht="13">
      <c r="B40" s="162" t="s">
        <v>960</v>
      </c>
      <c r="C40" s="163" t="b">
        <v>1</v>
      </c>
      <c r="D40" s="163" t="b">
        <v>1</v>
      </c>
      <c r="E40" s="247" t="s">
        <v>961</v>
      </c>
      <c r="F40" s="14"/>
      <c r="G40" s="162" t="s">
        <v>962</v>
      </c>
      <c r="H40" s="163" t="b">
        <v>1</v>
      </c>
      <c r="I40" s="163" t="b">
        <v>1</v>
      </c>
      <c r="J40" s="164" t="s">
        <v>963</v>
      </c>
      <c r="K40" s="14"/>
      <c r="L40" s="149" t="s">
        <v>964</v>
      </c>
      <c r="M40" s="14" t="b">
        <v>1</v>
      </c>
      <c r="N40" s="14" t="b">
        <v>1</v>
      </c>
      <c r="O40" s="152" t="s">
        <v>305</v>
      </c>
      <c r="P40" s="14"/>
      <c r="Q40" s="149" t="s">
        <v>965</v>
      </c>
      <c r="R40" s="13" t="b">
        <v>0</v>
      </c>
      <c r="S40" s="13" t="b">
        <v>0</v>
      </c>
      <c r="T40" s="113" t="s">
        <v>115</v>
      </c>
    </row>
    <row r="41" spans="2:20" ht="12.5">
      <c r="F41" s="14"/>
      <c r="G41" s="14"/>
      <c r="H41" s="14"/>
      <c r="I41" s="14"/>
      <c r="J41" s="14"/>
      <c r="L41" s="149" t="s">
        <v>966</v>
      </c>
      <c r="M41" s="14" t="b">
        <v>0</v>
      </c>
      <c r="N41" s="14" t="b">
        <v>0</v>
      </c>
      <c r="O41" s="182" t="s">
        <v>406</v>
      </c>
      <c r="P41" s="14"/>
      <c r="Q41" s="149" t="s">
        <v>967</v>
      </c>
      <c r="R41" s="13" t="b">
        <v>0</v>
      </c>
      <c r="S41" s="13" t="b">
        <v>0</v>
      </c>
      <c r="T41" s="113" t="s">
        <v>115</v>
      </c>
    </row>
    <row r="42" spans="2:20" ht="13">
      <c r="B42" s="100" t="s">
        <v>968</v>
      </c>
      <c r="C42" s="101" t="s">
        <v>86</v>
      </c>
      <c r="D42" s="101" t="s">
        <v>87</v>
      </c>
      <c r="E42" s="101" t="s">
        <v>110</v>
      </c>
      <c r="G42" s="100" t="s">
        <v>969</v>
      </c>
      <c r="H42" s="101" t="s">
        <v>86</v>
      </c>
      <c r="I42" s="101" t="s">
        <v>87</v>
      </c>
      <c r="J42" s="101" t="s">
        <v>110</v>
      </c>
      <c r="L42" s="149" t="s">
        <v>970</v>
      </c>
      <c r="M42" s="14" t="b">
        <v>1</v>
      </c>
      <c r="N42" s="14" t="b">
        <v>1</v>
      </c>
      <c r="O42" s="152" t="s">
        <v>305</v>
      </c>
      <c r="Q42" s="149" t="s">
        <v>971</v>
      </c>
      <c r="R42" s="13" t="b">
        <v>0</v>
      </c>
      <c r="S42" s="13" t="b">
        <v>0</v>
      </c>
      <c r="T42" s="113" t="s">
        <v>115</v>
      </c>
    </row>
    <row r="43" spans="2:20" ht="13">
      <c r="B43" s="146" t="s">
        <v>972</v>
      </c>
      <c r="C43" s="147" t="b">
        <v>1</v>
      </c>
      <c r="D43" s="147" t="b">
        <v>1</v>
      </c>
      <c r="E43" s="248" t="s">
        <v>973</v>
      </c>
      <c r="G43" s="146" t="s">
        <v>974</v>
      </c>
      <c r="H43" s="147" t="b">
        <v>1</v>
      </c>
      <c r="I43" s="147" t="b">
        <v>1</v>
      </c>
      <c r="J43" s="148" t="s">
        <v>313</v>
      </c>
      <c r="L43" s="149" t="s">
        <v>975</v>
      </c>
      <c r="M43" s="14" t="b">
        <v>1</v>
      </c>
      <c r="N43" s="14" t="b">
        <v>0</v>
      </c>
      <c r="O43" s="180" t="s">
        <v>801</v>
      </c>
      <c r="Q43" s="10" t="s">
        <v>976</v>
      </c>
      <c r="R43" s="13" t="b">
        <v>0</v>
      </c>
      <c r="S43" s="13" t="b">
        <v>0</v>
      </c>
      <c r="T43" s="113" t="s">
        <v>115</v>
      </c>
    </row>
    <row r="44" spans="2:20" ht="13">
      <c r="B44" s="149" t="s">
        <v>977</v>
      </c>
      <c r="C44" s="14" t="b">
        <v>1</v>
      </c>
      <c r="D44" s="14" t="b">
        <v>1</v>
      </c>
      <c r="E44" s="156" t="s">
        <v>978</v>
      </c>
      <c r="G44" s="10" t="s">
        <v>979</v>
      </c>
      <c r="H44" s="14" t="b">
        <v>0</v>
      </c>
      <c r="I44" s="14" t="b">
        <v>0</v>
      </c>
      <c r="J44" s="155" t="s">
        <v>782</v>
      </c>
      <c r="L44" s="149" t="s">
        <v>980</v>
      </c>
      <c r="M44" s="14" t="b">
        <v>0</v>
      </c>
      <c r="N44" s="14" t="b">
        <v>0</v>
      </c>
      <c r="O44" s="145" t="s">
        <v>981</v>
      </c>
      <c r="Q44" s="149" t="s">
        <v>982</v>
      </c>
      <c r="R44" s="13" t="b">
        <v>0</v>
      </c>
      <c r="S44" s="13" t="b">
        <v>0</v>
      </c>
      <c r="T44" s="113" t="s">
        <v>115</v>
      </c>
    </row>
    <row r="45" spans="2:20" ht="12.5">
      <c r="B45" s="149" t="s">
        <v>983</v>
      </c>
      <c r="C45" s="14" t="b">
        <v>1</v>
      </c>
      <c r="D45" s="14" t="b">
        <v>1</v>
      </c>
      <c r="E45" s="152" t="s">
        <v>305</v>
      </c>
      <c r="G45" s="10" t="s">
        <v>984</v>
      </c>
      <c r="H45" s="14" t="b">
        <v>1</v>
      </c>
      <c r="I45" s="14" t="b">
        <v>1</v>
      </c>
      <c r="J45" s="158" t="s">
        <v>305</v>
      </c>
      <c r="L45" s="162" t="s">
        <v>985</v>
      </c>
      <c r="M45" s="163" t="b">
        <v>1</v>
      </c>
      <c r="N45" s="163" t="b">
        <v>1</v>
      </c>
      <c r="O45" s="249" t="s">
        <v>986</v>
      </c>
      <c r="Q45" s="149" t="s">
        <v>987</v>
      </c>
      <c r="R45" s="13" t="b">
        <v>0</v>
      </c>
      <c r="S45" s="13" t="b">
        <v>0</v>
      </c>
      <c r="T45" s="126" t="s">
        <v>675</v>
      </c>
    </row>
    <row r="46" spans="2:20" ht="12.5">
      <c r="B46" s="149" t="s">
        <v>988</v>
      </c>
      <c r="C46" s="14" t="b">
        <v>1</v>
      </c>
      <c r="D46" s="14" t="b">
        <v>1</v>
      </c>
      <c r="E46" s="157" t="s">
        <v>348</v>
      </c>
      <c r="G46" s="10" t="s">
        <v>989</v>
      </c>
      <c r="H46" s="14" t="b">
        <v>0</v>
      </c>
      <c r="I46" s="14" t="b">
        <v>0</v>
      </c>
      <c r="J46" s="230" t="s">
        <v>990</v>
      </c>
      <c r="O46" s="13"/>
      <c r="Q46" s="10" t="s">
        <v>991</v>
      </c>
      <c r="R46" s="13" t="b">
        <v>1</v>
      </c>
      <c r="S46" s="13" t="b">
        <v>1</v>
      </c>
      <c r="T46" s="113" t="s">
        <v>115</v>
      </c>
    </row>
    <row r="47" spans="2:20" ht="13">
      <c r="B47" s="149" t="s">
        <v>992</v>
      </c>
      <c r="C47" s="14" t="b">
        <v>0</v>
      </c>
      <c r="D47" s="14" t="b">
        <v>0</v>
      </c>
      <c r="E47" s="222" t="s">
        <v>993</v>
      </c>
      <c r="G47" s="149" t="s">
        <v>994</v>
      </c>
      <c r="H47" s="14" t="b">
        <v>1</v>
      </c>
      <c r="I47" s="14" t="b">
        <v>1</v>
      </c>
      <c r="J47" s="157" t="s">
        <v>348</v>
      </c>
      <c r="L47" s="100" t="s">
        <v>995</v>
      </c>
      <c r="M47" s="101" t="s">
        <v>86</v>
      </c>
      <c r="N47" s="101" t="s">
        <v>87</v>
      </c>
      <c r="O47" s="101" t="s">
        <v>110</v>
      </c>
      <c r="Q47" s="10" t="s">
        <v>996</v>
      </c>
      <c r="R47" s="13" t="b">
        <v>0</v>
      </c>
      <c r="S47" s="13" t="b">
        <v>0</v>
      </c>
      <c r="T47" s="113" t="s">
        <v>115</v>
      </c>
    </row>
    <row r="48" spans="2:20" ht="13">
      <c r="B48" s="10" t="s">
        <v>515</v>
      </c>
      <c r="D48" s="13" t="b">
        <v>0</v>
      </c>
      <c r="E48" s="188"/>
      <c r="G48" s="162" t="s">
        <v>997</v>
      </c>
      <c r="H48" s="163" t="b">
        <v>1</v>
      </c>
      <c r="I48" s="163" t="b">
        <v>0</v>
      </c>
      <c r="J48" s="193" t="s">
        <v>998</v>
      </c>
      <c r="L48" s="146" t="s">
        <v>999</v>
      </c>
      <c r="M48" s="147" t="b">
        <v>1</v>
      </c>
      <c r="N48" s="147" t="b">
        <v>1</v>
      </c>
      <c r="O48" s="205" t="s">
        <v>1000</v>
      </c>
      <c r="Q48" s="149" t="s">
        <v>1001</v>
      </c>
      <c r="R48" s="13" t="b">
        <v>0</v>
      </c>
      <c r="S48" s="13" t="b">
        <v>0</v>
      </c>
      <c r="T48" s="113" t="s">
        <v>115</v>
      </c>
    </row>
    <row r="49" spans="2:20" ht="13">
      <c r="B49" s="149" t="s">
        <v>1002</v>
      </c>
      <c r="C49" s="14" t="b">
        <v>1</v>
      </c>
      <c r="D49" s="14" t="b">
        <v>1</v>
      </c>
      <c r="E49" s="151" t="s">
        <v>1003</v>
      </c>
      <c r="G49" s="14"/>
      <c r="H49" s="14"/>
      <c r="I49" s="14"/>
      <c r="J49" s="14"/>
      <c r="L49" s="149" t="s">
        <v>1004</v>
      </c>
      <c r="M49" s="14" t="b">
        <v>1</v>
      </c>
      <c r="N49" s="14" t="b">
        <v>1</v>
      </c>
      <c r="O49" s="156" t="s">
        <v>354</v>
      </c>
      <c r="Q49" s="149" t="s">
        <v>1005</v>
      </c>
      <c r="R49" s="13" t="b">
        <v>0</v>
      </c>
      <c r="S49" s="13" t="b">
        <v>0</v>
      </c>
      <c r="T49" s="113" t="s">
        <v>115</v>
      </c>
    </row>
    <row r="50" spans="2:20" ht="13">
      <c r="B50" s="149" t="s">
        <v>1006</v>
      </c>
      <c r="C50" s="14" t="b">
        <v>1</v>
      </c>
      <c r="D50" s="14" t="b">
        <v>1</v>
      </c>
      <c r="E50" s="152" t="s">
        <v>305</v>
      </c>
      <c r="G50" s="100" t="s">
        <v>1007</v>
      </c>
      <c r="H50" s="101" t="s">
        <v>86</v>
      </c>
      <c r="I50" s="101" t="s">
        <v>87</v>
      </c>
      <c r="J50" s="101" t="s">
        <v>110</v>
      </c>
      <c r="L50" s="149" t="s">
        <v>1008</v>
      </c>
      <c r="M50" s="14" t="b">
        <v>1</v>
      </c>
      <c r="N50" s="14" t="b">
        <v>1</v>
      </c>
      <c r="O50" s="156" t="s">
        <v>1009</v>
      </c>
      <c r="Q50" s="149" t="s">
        <v>1010</v>
      </c>
      <c r="R50" s="13" t="b">
        <v>0</v>
      </c>
      <c r="S50" s="13" t="b">
        <v>0</v>
      </c>
      <c r="T50" s="113" t="s">
        <v>115</v>
      </c>
    </row>
    <row r="51" spans="2:20" ht="13">
      <c r="B51" s="149" t="s">
        <v>1011</v>
      </c>
      <c r="C51" s="14" t="b">
        <v>0</v>
      </c>
      <c r="D51" s="14" t="b">
        <v>0</v>
      </c>
      <c r="E51" s="145" t="s">
        <v>1012</v>
      </c>
      <c r="G51" s="146" t="s">
        <v>1013</v>
      </c>
      <c r="H51" s="147" t="b">
        <v>1</v>
      </c>
      <c r="I51" s="147" t="b">
        <v>1</v>
      </c>
      <c r="J51" s="205" t="s">
        <v>1014</v>
      </c>
      <c r="L51" s="149" t="s">
        <v>1015</v>
      </c>
      <c r="M51" s="14" t="b">
        <v>1</v>
      </c>
      <c r="N51" s="14" t="b">
        <v>1</v>
      </c>
      <c r="O51" s="152" t="s">
        <v>305</v>
      </c>
      <c r="Q51" s="149" t="s">
        <v>1016</v>
      </c>
      <c r="R51" s="13" t="b">
        <v>1</v>
      </c>
      <c r="S51" s="13" t="b">
        <v>1</v>
      </c>
      <c r="T51" s="113" t="s">
        <v>115</v>
      </c>
    </row>
    <row r="52" spans="2:20" ht="13">
      <c r="B52" s="149" t="s">
        <v>1017</v>
      </c>
      <c r="C52" s="14" t="b">
        <v>0</v>
      </c>
      <c r="D52" s="14" t="b">
        <v>0</v>
      </c>
      <c r="E52" s="153" t="s">
        <v>1018</v>
      </c>
      <c r="G52" s="149" t="s">
        <v>1019</v>
      </c>
      <c r="H52" s="14" t="b">
        <v>1</v>
      </c>
      <c r="I52" s="14" t="b">
        <v>0</v>
      </c>
      <c r="J52" s="156" t="s">
        <v>1020</v>
      </c>
      <c r="L52" s="149" t="s">
        <v>1021</v>
      </c>
      <c r="M52" s="14" t="b">
        <v>0</v>
      </c>
      <c r="N52" s="14" t="b">
        <v>0</v>
      </c>
      <c r="O52" s="159" t="s">
        <v>693</v>
      </c>
      <c r="Q52" s="10" t="s">
        <v>1022</v>
      </c>
      <c r="R52" s="13" t="b">
        <v>0</v>
      </c>
      <c r="S52" s="13" t="b">
        <v>0</v>
      </c>
      <c r="T52" s="113" t="s">
        <v>115</v>
      </c>
    </row>
    <row r="53" spans="2:20" ht="12.5">
      <c r="B53" s="162" t="s">
        <v>1023</v>
      </c>
      <c r="C53" s="163" t="b">
        <v>0</v>
      </c>
      <c r="D53" s="163" t="b">
        <v>0</v>
      </c>
      <c r="E53" s="199" t="s">
        <v>551</v>
      </c>
      <c r="G53" s="149" t="s">
        <v>1024</v>
      </c>
      <c r="H53" s="14" t="b">
        <v>1</v>
      </c>
      <c r="I53" s="14" t="b">
        <v>0</v>
      </c>
      <c r="J53" s="145" t="s">
        <v>517</v>
      </c>
      <c r="L53" s="149" t="s">
        <v>1025</v>
      </c>
      <c r="M53" s="14" t="b">
        <v>0</v>
      </c>
      <c r="N53" s="14" t="b">
        <v>0</v>
      </c>
      <c r="O53" s="182" t="s">
        <v>406</v>
      </c>
      <c r="Q53" s="10" t="s">
        <v>1026</v>
      </c>
      <c r="R53" s="13" t="b">
        <v>0</v>
      </c>
      <c r="S53" s="13" t="b">
        <v>0</v>
      </c>
      <c r="T53" s="113" t="s">
        <v>115</v>
      </c>
    </row>
    <row r="54" spans="2:20" ht="12.5">
      <c r="G54" s="162" t="s">
        <v>1027</v>
      </c>
      <c r="H54" s="163" t="b">
        <v>0</v>
      </c>
      <c r="I54" s="163" t="b">
        <v>0</v>
      </c>
      <c r="J54" s="250" t="s">
        <v>406</v>
      </c>
      <c r="L54" s="149" t="s">
        <v>1028</v>
      </c>
      <c r="M54" s="14" t="b">
        <v>1</v>
      </c>
      <c r="N54" s="14" t="b">
        <v>0</v>
      </c>
      <c r="O54" s="152" t="s">
        <v>305</v>
      </c>
      <c r="Q54" s="149" t="s">
        <v>1029</v>
      </c>
      <c r="R54" s="13" t="b">
        <v>0</v>
      </c>
      <c r="S54" s="13" t="b">
        <v>0</v>
      </c>
      <c r="T54" s="113" t="s">
        <v>115</v>
      </c>
    </row>
    <row r="55" spans="2:20" ht="13">
      <c r="B55" s="100" t="s">
        <v>1030</v>
      </c>
      <c r="C55" s="101" t="s">
        <v>86</v>
      </c>
      <c r="D55" s="101" t="s">
        <v>87</v>
      </c>
      <c r="E55" s="102" t="s">
        <v>110</v>
      </c>
      <c r="L55" s="149" t="s">
        <v>1031</v>
      </c>
      <c r="M55" s="14" t="b">
        <v>1</v>
      </c>
      <c r="N55" s="14" t="b">
        <v>1</v>
      </c>
      <c r="O55" s="210" t="s">
        <v>1032</v>
      </c>
      <c r="Q55" s="149" t="s">
        <v>1033</v>
      </c>
      <c r="R55" s="13" t="b">
        <v>0</v>
      </c>
      <c r="S55" s="13" t="b">
        <v>0</v>
      </c>
      <c r="T55" s="113" t="s">
        <v>115</v>
      </c>
    </row>
    <row r="56" spans="2:20" ht="13">
      <c r="B56" s="146" t="s">
        <v>1034</v>
      </c>
      <c r="C56" s="147" t="b">
        <v>0</v>
      </c>
      <c r="D56" s="147" t="b">
        <v>0</v>
      </c>
      <c r="E56" s="215" t="s">
        <v>1035</v>
      </c>
      <c r="G56" s="100" t="s">
        <v>1036</v>
      </c>
      <c r="H56" s="101" t="s">
        <v>86</v>
      </c>
      <c r="I56" s="101" t="s">
        <v>87</v>
      </c>
      <c r="J56" s="101" t="s">
        <v>110</v>
      </c>
      <c r="L56" s="149" t="s">
        <v>1037</v>
      </c>
      <c r="M56" s="14" t="b">
        <v>1</v>
      </c>
      <c r="N56" s="14" t="b">
        <v>0</v>
      </c>
      <c r="O56" s="151" t="s">
        <v>998</v>
      </c>
      <c r="Q56" s="10" t="s">
        <v>1038</v>
      </c>
      <c r="R56" s="13" t="b">
        <v>0</v>
      </c>
      <c r="S56" s="13" t="b">
        <v>0</v>
      </c>
      <c r="T56" s="113" t="s">
        <v>115</v>
      </c>
    </row>
    <row r="57" spans="2:20" ht="12.5">
      <c r="B57" s="10" t="s">
        <v>1039</v>
      </c>
      <c r="C57" s="13" t="b">
        <v>0</v>
      </c>
      <c r="D57" s="13" t="b">
        <v>0</v>
      </c>
      <c r="E57" s="251" t="s">
        <v>1035</v>
      </c>
      <c r="G57" s="146" t="s">
        <v>1040</v>
      </c>
      <c r="H57" s="147" t="b">
        <v>0</v>
      </c>
      <c r="I57" s="147" t="b">
        <v>0</v>
      </c>
      <c r="J57" s="150" t="s">
        <v>429</v>
      </c>
      <c r="L57" s="15" t="s">
        <v>1041</v>
      </c>
      <c r="M57" s="16" t="b">
        <v>1</v>
      </c>
      <c r="N57" s="16" t="b">
        <v>1</v>
      </c>
      <c r="O57" s="172" t="s">
        <v>531</v>
      </c>
      <c r="Q57" s="149" t="s">
        <v>1042</v>
      </c>
      <c r="R57" s="13" t="b">
        <v>0</v>
      </c>
      <c r="S57" s="13" t="b">
        <v>0</v>
      </c>
      <c r="T57" s="113" t="s">
        <v>115</v>
      </c>
    </row>
    <row r="58" spans="2:20" ht="12.5">
      <c r="B58" s="10" t="s">
        <v>1043</v>
      </c>
      <c r="C58" s="13" t="b">
        <v>0</v>
      </c>
      <c r="D58" s="13" t="b">
        <v>0</v>
      </c>
      <c r="E58" s="251" t="s">
        <v>1035</v>
      </c>
      <c r="G58" s="149" t="s">
        <v>1044</v>
      </c>
      <c r="H58" s="14" t="b">
        <v>1</v>
      </c>
      <c r="I58" s="14" t="b">
        <v>1</v>
      </c>
      <c r="J58" s="157" t="s">
        <v>348</v>
      </c>
      <c r="Q58" s="149" t="s">
        <v>1045</v>
      </c>
      <c r="R58" s="13" t="b">
        <v>0</v>
      </c>
      <c r="S58" s="13" t="b">
        <v>0</v>
      </c>
      <c r="T58" s="113" t="s">
        <v>115</v>
      </c>
    </row>
    <row r="59" spans="2:20" ht="13">
      <c r="B59" s="10" t="s">
        <v>1046</v>
      </c>
      <c r="C59" s="13" t="b">
        <v>0</v>
      </c>
      <c r="D59" s="13" t="b">
        <v>0</v>
      </c>
      <c r="E59" s="251" t="s">
        <v>1035</v>
      </c>
      <c r="G59" s="149" t="s">
        <v>1047</v>
      </c>
      <c r="H59" s="14" t="b">
        <v>1</v>
      </c>
      <c r="I59" s="14" t="b">
        <v>0</v>
      </c>
      <c r="J59" s="151" t="s">
        <v>429</v>
      </c>
      <c r="L59" s="20" t="s">
        <v>346</v>
      </c>
      <c r="M59" s="103" t="s">
        <v>86</v>
      </c>
      <c r="N59" s="103" t="s">
        <v>87</v>
      </c>
      <c r="O59" s="104" t="s">
        <v>110</v>
      </c>
      <c r="Q59" s="149" t="s">
        <v>1048</v>
      </c>
      <c r="R59" s="13" t="b">
        <v>0</v>
      </c>
      <c r="S59" s="13" t="b">
        <v>0</v>
      </c>
      <c r="T59" s="113" t="s">
        <v>115</v>
      </c>
    </row>
    <row r="60" spans="2:20" ht="12.5">
      <c r="B60" s="10" t="s">
        <v>1049</v>
      </c>
      <c r="C60" s="13" t="b">
        <v>0</v>
      </c>
      <c r="D60" s="13" t="b">
        <v>0</v>
      </c>
      <c r="E60" s="251" t="s">
        <v>1035</v>
      </c>
      <c r="G60" s="162" t="s">
        <v>1050</v>
      </c>
      <c r="H60" s="163" t="b">
        <v>0</v>
      </c>
      <c r="I60" s="163" t="b">
        <v>0</v>
      </c>
      <c r="J60" s="231" t="s">
        <v>406</v>
      </c>
      <c r="L60" s="149" t="s">
        <v>1051</v>
      </c>
      <c r="M60" s="14" t="b">
        <v>1</v>
      </c>
      <c r="N60" s="14" t="b">
        <v>1</v>
      </c>
      <c r="O60" s="127" t="s">
        <v>305</v>
      </c>
      <c r="Q60" s="149" t="s">
        <v>1052</v>
      </c>
      <c r="R60" s="13" t="b">
        <v>0</v>
      </c>
      <c r="S60" s="13" t="b">
        <v>0</v>
      </c>
      <c r="T60" s="113" t="s">
        <v>115</v>
      </c>
    </row>
    <row r="61" spans="2:20" ht="12.5">
      <c r="B61" s="10" t="s">
        <v>1053</v>
      </c>
      <c r="C61" s="13" t="b">
        <v>0</v>
      </c>
      <c r="D61" s="13" t="b">
        <v>0</v>
      </c>
      <c r="E61" s="251" t="s">
        <v>1035</v>
      </c>
      <c r="L61" s="162" t="s">
        <v>1054</v>
      </c>
      <c r="M61" s="163" t="b">
        <v>1</v>
      </c>
      <c r="N61" s="163" t="b">
        <v>1</v>
      </c>
      <c r="O61" s="185" t="s">
        <v>305</v>
      </c>
      <c r="Q61" s="149" t="s">
        <v>1055</v>
      </c>
      <c r="R61" s="13" t="b">
        <v>0</v>
      </c>
      <c r="S61" s="13" t="b">
        <v>0</v>
      </c>
      <c r="T61" s="113" t="s">
        <v>115</v>
      </c>
    </row>
    <row r="62" spans="2:20" ht="13">
      <c r="B62" s="10" t="s">
        <v>1056</v>
      </c>
      <c r="C62" s="13" t="b">
        <v>0</v>
      </c>
      <c r="D62" s="13" t="b">
        <v>0</v>
      </c>
      <c r="E62" s="251" t="s">
        <v>1035</v>
      </c>
      <c r="G62" s="100" t="s">
        <v>1057</v>
      </c>
      <c r="H62" s="101" t="s">
        <v>86</v>
      </c>
      <c r="I62" s="101" t="s">
        <v>87</v>
      </c>
      <c r="J62" s="101" t="s">
        <v>110</v>
      </c>
      <c r="Q62" s="10" t="s">
        <v>1058</v>
      </c>
      <c r="R62" s="13" t="b">
        <v>0</v>
      </c>
      <c r="S62" s="13" t="b">
        <v>0</v>
      </c>
      <c r="T62" s="113" t="s">
        <v>115</v>
      </c>
    </row>
    <row r="63" spans="2:20" ht="13">
      <c r="B63" s="10" t="s">
        <v>1059</v>
      </c>
      <c r="C63" s="13" t="b">
        <v>0</v>
      </c>
      <c r="D63" s="13" t="b">
        <v>0</v>
      </c>
      <c r="E63" s="252" t="s">
        <v>1060</v>
      </c>
      <c r="G63" s="137" t="s">
        <v>1061</v>
      </c>
      <c r="H63" s="138" t="b">
        <v>0</v>
      </c>
      <c r="I63" s="138" t="b">
        <v>0</v>
      </c>
      <c r="J63" s="253" t="s">
        <v>1062</v>
      </c>
      <c r="L63" s="100" t="s">
        <v>361</v>
      </c>
      <c r="M63" s="101" t="s">
        <v>86</v>
      </c>
      <c r="N63" s="101" t="s">
        <v>87</v>
      </c>
      <c r="O63" s="102" t="s">
        <v>110</v>
      </c>
      <c r="Q63" s="10" t="s">
        <v>1063</v>
      </c>
      <c r="R63" s="13" t="b">
        <v>0</v>
      </c>
      <c r="S63" s="13" t="b">
        <v>0</v>
      </c>
      <c r="T63" s="113" t="s">
        <v>115</v>
      </c>
    </row>
    <row r="64" spans="2:20" ht="12.5">
      <c r="B64" s="10" t="s">
        <v>1064</v>
      </c>
      <c r="C64" s="13" t="b">
        <v>0</v>
      </c>
      <c r="D64" s="13" t="b">
        <v>0</v>
      </c>
      <c r="E64" s="252" t="s">
        <v>1060</v>
      </c>
      <c r="L64" s="149" t="s">
        <v>1065</v>
      </c>
      <c r="M64" s="14" t="b">
        <v>0</v>
      </c>
      <c r="N64" s="14" t="b">
        <v>0</v>
      </c>
      <c r="O64" s="189" t="s">
        <v>533</v>
      </c>
      <c r="Q64" s="10" t="s">
        <v>1066</v>
      </c>
      <c r="R64" s="13" t="b">
        <v>0</v>
      </c>
      <c r="S64" s="13" t="b">
        <v>0</v>
      </c>
      <c r="T64" s="113" t="s">
        <v>115</v>
      </c>
    </row>
    <row r="65" spans="2:20" ht="13">
      <c r="B65" s="10" t="s">
        <v>1067</v>
      </c>
      <c r="C65" s="13" t="b">
        <v>0</v>
      </c>
      <c r="D65" s="13" t="b">
        <v>0</v>
      </c>
      <c r="E65" s="251" t="s">
        <v>1035</v>
      </c>
      <c r="G65" s="100" t="s">
        <v>1068</v>
      </c>
      <c r="H65" s="101" t="s">
        <v>86</v>
      </c>
      <c r="I65" s="101" t="s">
        <v>87</v>
      </c>
      <c r="J65" s="101" t="s">
        <v>110</v>
      </c>
      <c r="L65" s="15" t="s">
        <v>515</v>
      </c>
      <c r="M65" s="16"/>
      <c r="N65" s="16" t="b">
        <v>0</v>
      </c>
      <c r="O65" s="190"/>
      <c r="Q65" s="10" t="s">
        <v>1069</v>
      </c>
      <c r="R65" s="13" t="b">
        <v>0</v>
      </c>
      <c r="S65" s="13" t="b">
        <v>0</v>
      </c>
      <c r="T65" s="113" t="s">
        <v>207</v>
      </c>
    </row>
    <row r="66" spans="2:20" ht="12.5">
      <c r="B66" s="15" t="s">
        <v>1070</v>
      </c>
      <c r="C66" s="16" t="b">
        <v>0</v>
      </c>
      <c r="D66" s="16" t="b">
        <v>0</v>
      </c>
      <c r="E66" s="254" t="s">
        <v>1035</v>
      </c>
      <c r="G66" s="146" t="s">
        <v>1071</v>
      </c>
      <c r="H66" s="147" t="b">
        <v>1</v>
      </c>
      <c r="I66" s="147" t="b">
        <v>1</v>
      </c>
      <c r="J66" s="150" t="s">
        <v>1072</v>
      </c>
      <c r="L66" s="149" t="s">
        <v>1073</v>
      </c>
      <c r="M66" s="14" t="b">
        <v>0</v>
      </c>
      <c r="N66" s="14" t="b">
        <v>0</v>
      </c>
      <c r="O66" s="189" t="s">
        <v>533</v>
      </c>
      <c r="Q66" s="149" t="s">
        <v>1074</v>
      </c>
      <c r="R66" s="13" t="b">
        <v>0</v>
      </c>
      <c r="S66" s="13" t="b">
        <v>0</v>
      </c>
      <c r="T66" s="113" t="s">
        <v>115</v>
      </c>
    </row>
    <row r="67" spans="2:20" ht="12.5">
      <c r="G67" s="149" t="s">
        <v>1075</v>
      </c>
      <c r="H67" s="14" t="b">
        <v>0</v>
      </c>
      <c r="I67" s="14" t="b">
        <v>0</v>
      </c>
      <c r="J67" s="151" t="s">
        <v>1076</v>
      </c>
      <c r="L67" s="15" t="s">
        <v>515</v>
      </c>
      <c r="M67" s="16"/>
      <c r="N67" s="16" t="b">
        <v>0</v>
      </c>
      <c r="O67" s="190"/>
      <c r="Q67" s="149" t="s">
        <v>1077</v>
      </c>
      <c r="R67" s="13" t="b">
        <v>0</v>
      </c>
      <c r="S67" s="13" t="b">
        <v>0</v>
      </c>
      <c r="T67" s="113" t="s">
        <v>115</v>
      </c>
    </row>
    <row r="68" spans="2:20" ht="16.5">
      <c r="E68" s="82"/>
      <c r="G68" s="162" t="s">
        <v>1078</v>
      </c>
      <c r="H68" s="163" t="b">
        <v>1</v>
      </c>
      <c r="I68" s="163" t="b">
        <v>0</v>
      </c>
      <c r="J68" s="184" t="s">
        <v>1079</v>
      </c>
      <c r="L68" s="149" t="s">
        <v>1080</v>
      </c>
      <c r="M68" s="14" t="b">
        <v>0</v>
      </c>
      <c r="N68" s="14" t="b">
        <v>0</v>
      </c>
      <c r="O68" s="189" t="s">
        <v>533</v>
      </c>
      <c r="Q68" s="149" t="s">
        <v>1081</v>
      </c>
      <c r="R68" s="13" t="b">
        <v>0</v>
      </c>
      <c r="S68" s="13" t="b">
        <v>0</v>
      </c>
      <c r="T68" s="113" t="s">
        <v>115</v>
      </c>
    </row>
    <row r="69" spans="2:20" ht="12.5">
      <c r="L69" s="15" t="s">
        <v>515</v>
      </c>
      <c r="M69" s="16"/>
      <c r="N69" s="16" t="b">
        <v>0</v>
      </c>
      <c r="O69" s="190"/>
      <c r="Q69" s="149" t="s">
        <v>1082</v>
      </c>
      <c r="R69" s="13" t="b">
        <v>0</v>
      </c>
      <c r="S69" s="13" t="b">
        <v>0</v>
      </c>
      <c r="T69" s="113" t="s">
        <v>115</v>
      </c>
    </row>
    <row r="70" spans="2:20" ht="12.5">
      <c r="L70" s="149" t="s">
        <v>1083</v>
      </c>
      <c r="M70" s="14" t="b">
        <v>0</v>
      </c>
      <c r="N70" s="14" t="b">
        <v>0</v>
      </c>
      <c r="O70" s="189" t="s">
        <v>533</v>
      </c>
      <c r="Q70" s="149" t="s">
        <v>1084</v>
      </c>
      <c r="R70" s="13" t="b">
        <v>0</v>
      </c>
      <c r="S70" s="13" t="b">
        <v>0</v>
      </c>
      <c r="T70" s="113" t="s">
        <v>115</v>
      </c>
    </row>
    <row r="71" spans="2:20" ht="12.5">
      <c r="L71" s="15" t="s">
        <v>515</v>
      </c>
      <c r="M71" s="16"/>
      <c r="N71" s="16" t="b">
        <v>0</v>
      </c>
      <c r="O71" s="190"/>
      <c r="Q71" s="149" t="s">
        <v>1085</v>
      </c>
      <c r="R71" s="13" t="b">
        <v>0</v>
      </c>
      <c r="S71" s="13" t="b">
        <v>0</v>
      </c>
      <c r="T71" s="113" t="s">
        <v>207</v>
      </c>
    </row>
    <row r="72" spans="2:20" ht="12.5">
      <c r="L72" s="149" t="s">
        <v>1086</v>
      </c>
      <c r="M72" s="14" t="b">
        <v>0</v>
      </c>
      <c r="N72" s="14" t="b">
        <v>0</v>
      </c>
      <c r="O72" s="189" t="s">
        <v>533</v>
      </c>
      <c r="Q72" s="162" t="s">
        <v>1087</v>
      </c>
      <c r="R72" s="163" t="b">
        <v>0</v>
      </c>
      <c r="S72" s="163" t="b">
        <v>0</v>
      </c>
      <c r="T72" s="135" t="s">
        <v>115</v>
      </c>
    </row>
    <row r="73" spans="2:20" ht="12.5">
      <c r="L73" s="15" t="s">
        <v>515</v>
      </c>
      <c r="M73" s="16"/>
      <c r="N73" s="16" t="b">
        <v>0</v>
      </c>
      <c r="O73" s="190"/>
    </row>
    <row r="74" spans="2:20" ht="13">
      <c r="Q74" s="100" t="s">
        <v>352</v>
      </c>
      <c r="R74" s="101" t="s">
        <v>86</v>
      </c>
      <c r="S74" s="101" t="s">
        <v>87</v>
      </c>
      <c r="T74" s="102" t="s">
        <v>110</v>
      </c>
    </row>
    <row r="75" spans="2:20" ht="12.5">
      <c r="Q75" s="149" t="s">
        <v>1088</v>
      </c>
      <c r="R75" s="14" t="b">
        <v>0</v>
      </c>
      <c r="S75" s="14" t="b">
        <v>0</v>
      </c>
      <c r="T75" s="192" t="s">
        <v>511</v>
      </c>
    </row>
    <row r="76" spans="2:20" ht="12.5">
      <c r="Q76" s="15" t="s">
        <v>515</v>
      </c>
      <c r="R76" s="163"/>
      <c r="S76" s="163" t="b">
        <v>0</v>
      </c>
      <c r="T76" s="196"/>
    </row>
    <row r="77" spans="2:20" ht="12.5">
      <c r="Q77" s="149" t="s">
        <v>1089</v>
      </c>
      <c r="R77" s="14" t="b">
        <v>0</v>
      </c>
      <c r="S77" s="14" t="b">
        <v>0</v>
      </c>
      <c r="T77" s="192" t="s">
        <v>511</v>
      </c>
    </row>
    <row r="78" spans="2:20" ht="12.5">
      <c r="Q78" s="15" t="s">
        <v>515</v>
      </c>
      <c r="R78" s="16"/>
      <c r="S78" s="16" t="b">
        <v>0</v>
      </c>
      <c r="T78" s="190"/>
    </row>
    <row r="80" spans="2:20" ht="13">
      <c r="Q80" s="100" t="s">
        <v>358</v>
      </c>
      <c r="R80" s="101" t="s">
        <v>86</v>
      </c>
      <c r="S80" s="101" t="s">
        <v>87</v>
      </c>
      <c r="T80" s="102" t="s">
        <v>110</v>
      </c>
    </row>
    <row r="81" spans="17:20" ht="12.5">
      <c r="Q81" s="149" t="s">
        <v>1090</v>
      </c>
      <c r="R81" s="14" t="b">
        <v>0</v>
      </c>
      <c r="S81" s="14" t="b">
        <v>0</v>
      </c>
      <c r="T81" s="192" t="s">
        <v>1091</v>
      </c>
    </row>
    <row r="82" spans="17:20" ht="12.5">
      <c r="Q82" s="15" t="s">
        <v>515</v>
      </c>
      <c r="R82" s="16"/>
      <c r="S82" s="16" t="b">
        <v>0</v>
      </c>
      <c r="T82" s="190"/>
    </row>
    <row r="83" spans="17:20" ht="12.5">
      <c r="Q83" s="149" t="s">
        <v>1092</v>
      </c>
      <c r="R83" s="14" t="b">
        <v>0</v>
      </c>
      <c r="S83" s="14" t="b">
        <v>0</v>
      </c>
      <c r="T83" s="192" t="s">
        <v>1091</v>
      </c>
    </row>
    <row r="84" spans="17:20" ht="12.5">
      <c r="Q84" s="15" t="s">
        <v>515</v>
      </c>
      <c r="R84" s="16"/>
      <c r="S84" s="16" t="b">
        <v>0</v>
      </c>
      <c r="T84" s="190"/>
    </row>
    <row r="85" spans="17:20" ht="12.5">
      <c r="Q85" s="149" t="s">
        <v>1093</v>
      </c>
      <c r="R85" s="14" t="b">
        <v>0</v>
      </c>
      <c r="S85" s="14" t="b">
        <v>0</v>
      </c>
      <c r="T85" s="192" t="s">
        <v>1091</v>
      </c>
    </row>
    <row r="86" spans="17:20" ht="12.5">
      <c r="Q86" s="15" t="s">
        <v>515</v>
      </c>
      <c r="R86" s="16"/>
      <c r="S86" s="16" t="b">
        <v>0</v>
      </c>
      <c r="T86" s="190"/>
    </row>
    <row r="87" spans="17:20" ht="12.5">
      <c r="Q87" s="149" t="s">
        <v>1094</v>
      </c>
      <c r="R87" s="14" t="b">
        <v>0</v>
      </c>
      <c r="S87" s="14" t="b">
        <v>0</v>
      </c>
      <c r="T87" s="192" t="s">
        <v>1091</v>
      </c>
    </row>
    <row r="88" spans="17:20" ht="12.5">
      <c r="Q88" s="15" t="s">
        <v>515</v>
      </c>
      <c r="R88" s="16"/>
      <c r="S88" s="16" t="b">
        <v>0</v>
      </c>
      <c r="T88" s="190"/>
    </row>
  </sheetData>
  <conditionalFormatting sqref="B3:D71">
    <cfRule type="expression" dxfId="19" priority="1">
      <formula>$D3=TRUE</formula>
    </cfRule>
    <cfRule type="expression" dxfId="18" priority="2">
      <formula>$C3=TRUE</formula>
    </cfRule>
  </conditionalFormatting>
  <conditionalFormatting sqref="G3:I72">
    <cfRule type="expression" dxfId="17" priority="3">
      <formula>$I3=TRUE</formula>
    </cfRule>
    <cfRule type="expression" dxfId="16" priority="4">
      <formula>$H3=TRUE</formula>
    </cfRule>
  </conditionalFormatting>
  <conditionalFormatting sqref="L3:N106">
    <cfRule type="expression" dxfId="15" priority="5">
      <formula>$N3=TRUE</formula>
    </cfRule>
    <cfRule type="expression" dxfId="14" priority="6">
      <formula>$M3=TRUE</formula>
    </cfRule>
  </conditionalFormatting>
  <conditionalFormatting sqref="Q3:S89">
    <cfRule type="expression" dxfId="13" priority="7">
      <formula>$S3=TRUE</formula>
    </cfRule>
    <cfRule type="expression" dxfId="12" priority="8">
      <formula>$R3=TRUE</formula>
    </cfRule>
  </conditionalFormatting>
  <conditionalFormatting sqref="V33:X33">
    <cfRule type="expression" dxfId="11" priority="9">
      <formula>$X33=TRUE</formula>
    </cfRule>
    <cfRule type="expression" dxfId="10" priority="10">
      <formula>$W33=TRUE</formula>
    </cfRule>
  </conditionalFormatting>
  <conditionalFormatting sqref="W36">
    <cfRule type="notContainsBlanks" dxfId="9" priority="11">
      <formula>LEN(TRIM(W36))&gt;0</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4"/>
  <sheetViews>
    <sheetView workbookViewId="0">
      <selection activeCell="K1" sqref="K1:K1048576"/>
    </sheetView>
  </sheetViews>
  <sheetFormatPr defaultColWidth="12.6328125" defaultRowHeight="15.75" customHeight="1"/>
  <cols>
    <col min="1" max="1" width="0.36328125" customWidth="1"/>
    <col min="2" max="2" width="16.26953125" customWidth="1"/>
    <col min="3" max="4" width="8" customWidth="1"/>
    <col min="5" max="5" width="24.90625" customWidth="1"/>
    <col min="6" max="6" width="0.36328125" customWidth="1"/>
    <col min="7" max="7" width="21" customWidth="1"/>
    <col min="8" max="9" width="8" customWidth="1"/>
    <col min="10" max="10" width="25.453125" customWidth="1"/>
    <col min="11" max="11" width="0.36328125" customWidth="1"/>
    <col min="12" max="12" width="14.6328125" customWidth="1"/>
    <col min="13" max="14" width="10.7265625" customWidth="1"/>
    <col min="15" max="15" width="0.7265625" customWidth="1"/>
  </cols>
  <sheetData>
    <row r="1" spans="1:15" ht="1.5" customHeight="1">
      <c r="A1" s="13" t="s">
        <v>1095</v>
      </c>
      <c r="B1" s="218"/>
      <c r="C1" s="218"/>
      <c r="D1" s="218"/>
      <c r="E1" s="218"/>
      <c r="F1" s="14"/>
      <c r="G1" s="218"/>
      <c r="H1" s="219"/>
      <c r="I1" s="219"/>
      <c r="J1" s="219"/>
      <c r="K1" s="14"/>
      <c r="L1" s="218"/>
      <c r="M1" s="255"/>
      <c r="N1" s="255"/>
      <c r="O1" s="219"/>
    </row>
    <row r="2" spans="1:15" ht="13">
      <c r="B2" s="100" t="s">
        <v>1096</v>
      </c>
      <c r="C2" s="101" t="s">
        <v>86</v>
      </c>
      <c r="D2" s="101" t="s">
        <v>87</v>
      </c>
      <c r="E2" s="101" t="s">
        <v>110</v>
      </c>
      <c r="F2" s="143"/>
      <c r="G2" s="101" t="s">
        <v>1097</v>
      </c>
      <c r="H2" s="101" t="s">
        <v>86</v>
      </c>
      <c r="I2" s="101" t="s">
        <v>87</v>
      </c>
      <c r="J2" s="101" t="s">
        <v>110</v>
      </c>
      <c r="K2" s="14"/>
      <c r="L2" s="256" t="s">
        <v>17</v>
      </c>
      <c r="M2" s="257" t="s">
        <v>18</v>
      </c>
      <c r="N2" s="257" t="s">
        <v>14</v>
      </c>
    </row>
    <row r="3" spans="1:15" ht="12.5">
      <c r="B3" s="146" t="s">
        <v>1098</v>
      </c>
      <c r="C3" s="147" t="b">
        <v>1</v>
      </c>
      <c r="D3" s="147" t="b">
        <v>1</v>
      </c>
      <c r="E3" s="226" t="s">
        <v>305</v>
      </c>
      <c r="F3" s="14"/>
      <c r="G3" s="146" t="s">
        <v>1099</v>
      </c>
      <c r="H3" s="147" t="b">
        <v>0</v>
      </c>
      <c r="I3" s="147" t="b">
        <v>0</v>
      </c>
      <c r="J3" s="258" t="s">
        <v>1100</v>
      </c>
      <c r="K3" s="14"/>
      <c r="L3" s="10" t="str">
        <f>B2</f>
        <v>Sentinels</v>
      </c>
      <c r="M3" s="232">
        <f>COUNTIF(C3:C13, "TRUE")</f>
        <v>9</v>
      </c>
      <c r="N3" s="42">
        <f>COUNTIF(D3:D13, "TRUE")</f>
        <v>9</v>
      </c>
    </row>
    <row r="4" spans="1:15" ht="12.5">
      <c r="B4" s="149" t="s">
        <v>1101</v>
      </c>
      <c r="C4" s="14" t="b">
        <v>1</v>
      </c>
      <c r="D4" s="14" t="b">
        <v>1</v>
      </c>
      <c r="E4" s="152" t="s">
        <v>305</v>
      </c>
      <c r="F4" s="14"/>
      <c r="G4" s="149" t="s">
        <v>1102</v>
      </c>
      <c r="H4" s="14" t="b">
        <v>0</v>
      </c>
      <c r="I4" s="14" t="b">
        <v>0</v>
      </c>
      <c r="J4" s="259" t="s">
        <v>1100</v>
      </c>
      <c r="K4" s="14"/>
      <c r="L4" s="10" t="str">
        <f>B35</f>
        <v>Prime Sentinels</v>
      </c>
      <c r="M4" s="232">
        <f>COUNTIF(C36:C41, "TRUE")</f>
        <v>1</v>
      </c>
      <c r="N4" s="42">
        <f>COUNTIF(D36:D41, "TRUE")</f>
        <v>1</v>
      </c>
      <c r="O4" s="14"/>
    </row>
    <row r="5" spans="1:15" ht="12.5">
      <c r="B5" s="149" t="s">
        <v>1103</v>
      </c>
      <c r="C5" s="14" t="b">
        <v>1</v>
      </c>
      <c r="D5" s="14" t="b">
        <v>1</v>
      </c>
      <c r="E5" s="152" t="s">
        <v>305</v>
      </c>
      <c r="F5" s="14"/>
      <c r="G5" s="149" t="s">
        <v>1104</v>
      </c>
      <c r="H5" s="14" t="b">
        <v>1</v>
      </c>
      <c r="I5" s="14" t="b">
        <v>1</v>
      </c>
      <c r="J5" s="259" t="s">
        <v>1100</v>
      </c>
      <c r="K5" s="14"/>
      <c r="L5" s="260" t="s">
        <v>1105</v>
      </c>
      <c r="M5" s="255">
        <f t="shared" ref="M5:N5" si="0">SUM(M3:M4)</f>
        <v>10</v>
      </c>
      <c r="N5" s="261">
        <f t="shared" si="0"/>
        <v>10</v>
      </c>
    </row>
    <row r="6" spans="1:15" ht="12.5">
      <c r="B6" s="149" t="s">
        <v>1106</v>
      </c>
      <c r="C6" s="14" t="b">
        <v>1</v>
      </c>
      <c r="D6" s="14" t="b">
        <v>1</v>
      </c>
      <c r="E6" s="157" t="s">
        <v>351</v>
      </c>
      <c r="F6" s="14"/>
      <c r="G6" s="149" t="s">
        <v>1107</v>
      </c>
      <c r="H6" s="14" t="b">
        <v>0</v>
      </c>
      <c r="I6" s="14" t="b">
        <v>0</v>
      </c>
      <c r="J6" s="259" t="s">
        <v>1100</v>
      </c>
      <c r="K6" s="14"/>
      <c r="L6" s="260" t="s">
        <v>1108</v>
      </c>
      <c r="M6" s="255">
        <f>COUNTA(C3:C13,C36:C41)</f>
        <v>17</v>
      </c>
      <c r="N6" s="261">
        <f>COUNTA(D3:D13,D36:D41)</f>
        <v>17</v>
      </c>
    </row>
    <row r="7" spans="1:15" ht="12.5">
      <c r="B7" s="149" t="s">
        <v>1109</v>
      </c>
      <c r="C7" s="14" t="b">
        <v>1</v>
      </c>
      <c r="D7" s="14" t="b">
        <v>1</v>
      </c>
      <c r="E7" s="157" t="s">
        <v>299</v>
      </c>
      <c r="F7" s="14"/>
      <c r="G7" s="149" t="s">
        <v>1110</v>
      </c>
      <c r="H7" s="14" t="b">
        <v>0</v>
      </c>
      <c r="I7" s="14" t="b">
        <v>0</v>
      </c>
      <c r="J7" s="259" t="s">
        <v>1100</v>
      </c>
      <c r="K7" s="14"/>
      <c r="L7" s="10" t="str">
        <f>B15</f>
        <v>Robotic Weapons</v>
      </c>
      <c r="M7" s="232">
        <f>COUNTIF(C16:C33, "TRUE")</f>
        <v>16</v>
      </c>
      <c r="N7" s="42">
        <f>COUNTIF(D16:D33, "TRUE")</f>
        <v>13</v>
      </c>
      <c r="O7" s="14"/>
    </row>
    <row r="8" spans="1:15" ht="12.5">
      <c r="B8" s="149" t="s">
        <v>1111</v>
      </c>
      <c r="C8" s="14" t="b">
        <v>0</v>
      </c>
      <c r="D8" s="14" t="b">
        <v>0</v>
      </c>
      <c r="E8" s="262" t="s">
        <v>1112</v>
      </c>
      <c r="F8" s="14"/>
      <c r="G8" s="162" t="s">
        <v>1113</v>
      </c>
      <c r="H8" s="163" t="b">
        <v>1</v>
      </c>
      <c r="I8" s="163" t="b">
        <v>1</v>
      </c>
      <c r="J8" s="263" t="s">
        <v>1114</v>
      </c>
      <c r="K8" s="14"/>
      <c r="L8" s="10" t="str">
        <f>B43</f>
        <v>Prime R. Weapons</v>
      </c>
      <c r="M8" s="232">
        <f>COUNTIF(C44:C49, "TRUE")</f>
        <v>1</v>
      </c>
      <c r="N8" s="42">
        <f>COUNTIF(D44:D49, "TRUE")</f>
        <v>1</v>
      </c>
      <c r="O8" s="14"/>
    </row>
    <row r="9" spans="1:15" ht="12.5">
      <c r="B9" s="149" t="s">
        <v>1115</v>
      </c>
      <c r="C9" s="14" t="b">
        <v>1</v>
      </c>
      <c r="D9" s="14" t="b">
        <v>1</v>
      </c>
      <c r="E9" s="159" t="s">
        <v>721</v>
      </c>
      <c r="F9" s="14"/>
      <c r="G9" s="163"/>
      <c r="H9" s="163"/>
      <c r="I9" s="163"/>
      <c r="J9" s="163"/>
      <c r="K9" s="14"/>
      <c r="L9" s="260" t="s">
        <v>1116</v>
      </c>
      <c r="M9" s="255">
        <f t="shared" ref="M9:N9" si="1">SUM(M7:M8)</f>
        <v>17</v>
      </c>
      <c r="N9" s="261">
        <f t="shared" si="1"/>
        <v>14</v>
      </c>
      <c r="O9" s="14"/>
    </row>
    <row r="10" spans="1:15" ht="13">
      <c r="B10" s="10" t="s">
        <v>1117</v>
      </c>
      <c r="C10" s="13" t="b">
        <v>0</v>
      </c>
      <c r="D10" s="13" t="b">
        <v>0</v>
      </c>
      <c r="E10" s="179" t="s">
        <v>406</v>
      </c>
      <c r="F10" s="143"/>
      <c r="G10" s="99" t="s">
        <v>1118</v>
      </c>
      <c r="H10" s="101" t="s">
        <v>86</v>
      </c>
      <c r="I10" s="101" t="s">
        <v>87</v>
      </c>
      <c r="J10" s="101" t="s">
        <v>110</v>
      </c>
      <c r="K10" s="14"/>
      <c r="L10" s="260" t="s">
        <v>1119</v>
      </c>
      <c r="M10" s="255">
        <f>COUNTA(C16:C33,C44:C49)</f>
        <v>24</v>
      </c>
      <c r="N10" s="261">
        <f>COUNTA(D16:D33,D44:D49)</f>
        <v>24</v>
      </c>
      <c r="O10" s="14"/>
    </row>
    <row r="11" spans="1:15" ht="12.5">
      <c r="B11" s="149" t="s">
        <v>1120</v>
      </c>
      <c r="C11" s="14" t="b">
        <v>1</v>
      </c>
      <c r="D11" s="14" t="b">
        <v>1</v>
      </c>
      <c r="E11" s="152" t="s">
        <v>305</v>
      </c>
      <c r="F11" s="14"/>
      <c r="G11" s="146" t="s">
        <v>1121</v>
      </c>
      <c r="H11" s="147" t="b">
        <v>1</v>
      </c>
      <c r="I11" s="147" t="b">
        <v>1</v>
      </c>
      <c r="J11" s="264" t="s">
        <v>1122</v>
      </c>
      <c r="K11" s="14"/>
      <c r="L11" s="10" t="str">
        <f>G2</f>
        <v>Kubrows</v>
      </c>
      <c r="M11" s="232">
        <f>COUNTIF(H3:H8, "TRUE")</f>
        <v>2</v>
      </c>
      <c r="N11" s="42">
        <f>COUNTIF(I3:I8, "TRUE")</f>
        <v>2</v>
      </c>
      <c r="O11" s="14"/>
    </row>
    <row r="12" spans="1:15" ht="12.5">
      <c r="B12" s="149" t="s">
        <v>1123</v>
      </c>
      <c r="C12" s="14" t="b">
        <v>1</v>
      </c>
      <c r="D12" s="14" t="b">
        <v>1</v>
      </c>
      <c r="E12" s="152" t="s">
        <v>305</v>
      </c>
      <c r="F12" s="14"/>
      <c r="G12" s="149" t="s">
        <v>1124</v>
      </c>
      <c r="H12" s="14" t="b">
        <v>0</v>
      </c>
      <c r="I12" s="14" t="b">
        <v>0</v>
      </c>
      <c r="J12" s="265" t="s">
        <v>1122</v>
      </c>
      <c r="K12" s="14"/>
      <c r="L12" s="10" t="str">
        <f>G10</f>
        <v>Kavats</v>
      </c>
      <c r="M12" s="232">
        <f>COUNTIF(H11:H15, "TRUE")</f>
        <v>2</v>
      </c>
      <c r="N12" s="42">
        <f>COUNTIF(I11:I15, "TRUE")</f>
        <v>2</v>
      </c>
      <c r="O12" s="14"/>
    </row>
    <row r="13" spans="1:15" ht="12.5">
      <c r="B13" s="162" t="s">
        <v>1125</v>
      </c>
      <c r="C13" s="163" t="b">
        <v>1</v>
      </c>
      <c r="D13" s="163" t="b">
        <v>1</v>
      </c>
      <c r="E13" s="184" t="s">
        <v>305</v>
      </c>
      <c r="F13" s="14"/>
      <c r="G13" s="149" t="s">
        <v>1126</v>
      </c>
      <c r="H13" s="14" t="b">
        <v>0</v>
      </c>
      <c r="I13" s="14" t="b">
        <v>0</v>
      </c>
      <c r="J13" s="266" t="s">
        <v>1127</v>
      </c>
      <c r="K13" s="14"/>
      <c r="L13" s="10" t="s">
        <v>1128</v>
      </c>
      <c r="M13" s="232">
        <f>COUNTIF(H18:H21, "TRUE")</f>
        <v>1</v>
      </c>
      <c r="N13" s="42">
        <f>COUNTIF(I18:I21, "TRUE")</f>
        <v>1</v>
      </c>
      <c r="O13" s="14"/>
    </row>
    <row r="14" spans="1:15" ht="12.5">
      <c r="F14" s="14"/>
      <c r="G14" s="149" t="s">
        <v>1129</v>
      </c>
      <c r="H14" s="14" t="b">
        <v>1</v>
      </c>
      <c r="I14" s="14" t="b">
        <v>1</v>
      </c>
      <c r="J14" s="267" t="s">
        <v>1130</v>
      </c>
      <c r="K14" s="14"/>
      <c r="L14" s="10" t="s">
        <v>1131</v>
      </c>
      <c r="M14" s="232">
        <f>COUNTIF(H24:H26, "TRUE")</f>
        <v>3</v>
      </c>
      <c r="N14" s="42">
        <f>COUNTIF(I24:I26, "TRUE")</f>
        <v>3</v>
      </c>
      <c r="O14" s="14"/>
    </row>
    <row r="15" spans="1:15" ht="13">
      <c r="B15" s="100" t="s">
        <v>1132</v>
      </c>
      <c r="C15" s="101" t="s">
        <v>86</v>
      </c>
      <c r="D15" s="101" t="s">
        <v>87</v>
      </c>
      <c r="E15" s="102" t="s">
        <v>110</v>
      </c>
      <c r="F15" s="14"/>
      <c r="G15" s="162" t="s">
        <v>1133</v>
      </c>
      <c r="H15" s="163" t="b">
        <v>0</v>
      </c>
      <c r="I15" s="163" t="b">
        <v>0</v>
      </c>
      <c r="J15" s="268" t="s">
        <v>1134</v>
      </c>
      <c r="K15" s="14"/>
      <c r="L15" s="10" t="s">
        <v>1135</v>
      </c>
      <c r="M15" s="232">
        <f>COUNTIF(H29:H31, "TRUE")</f>
        <v>3</v>
      </c>
      <c r="N15" s="42">
        <f>COUNTIF(I29:I31, "TRUE")</f>
        <v>3</v>
      </c>
      <c r="O15" s="14"/>
    </row>
    <row r="16" spans="1:15" ht="12.5">
      <c r="B16" s="146" t="s">
        <v>1136</v>
      </c>
      <c r="C16" s="147" t="b">
        <v>1</v>
      </c>
      <c r="D16" s="147" t="b">
        <v>1</v>
      </c>
      <c r="E16" s="269" t="s">
        <v>1137</v>
      </c>
      <c r="F16" s="14"/>
      <c r="K16" s="14"/>
      <c r="L16" s="112" t="s">
        <v>1138</v>
      </c>
      <c r="M16" s="115">
        <f>COUNTIF(H34:H36, "TRUE")</f>
        <v>1</v>
      </c>
      <c r="N16" s="270">
        <f>COUNTIF(I34:I36, "TRUE")</f>
        <v>1</v>
      </c>
      <c r="O16" s="14"/>
    </row>
    <row r="17" spans="2:15" ht="16.5">
      <c r="B17" s="149" t="s">
        <v>1139</v>
      </c>
      <c r="C17" s="14" t="b">
        <v>1</v>
      </c>
      <c r="D17" s="14" t="b">
        <v>1</v>
      </c>
      <c r="E17" s="271" t="s">
        <v>1140</v>
      </c>
      <c r="F17" s="14"/>
      <c r="G17" s="100" t="s">
        <v>1128</v>
      </c>
      <c r="H17" s="101" t="s">
        <v>86</v>
      </c>
      <c r="I17" s="101" t="s">
        <v>87</v>
      </c>
      <c r="J17" s="102" t="s">
        <v>110</v>
      </c>
      <c r="K17" s="14"/>
      <c r="L17" s="119" t="s">
        <v>1105</v>
      </c>
      <c r="M17" s="255">
        <f t="shared" ref="M17:N17" si="2">SUM(M11:M16)</f>
        <v>12</v>
      </c>
      <c r="N17" s="261">
        <f t="shared" si="2"/>
        <v>12</v>
      </c>
      <c r="O17" s="82"/>
    </row>
    <row r="18" spans="2:15" ht="16.5">
      <c r="B18" s="149" t="s">
        <v>1141</v>
      </c>
      <c r="C18" s="14" t="b">
        <v>1</v>
      </c>
      <c r="D18" s="14" t="b">
        <v>1</v>
      </c>
      <c r="E18" s="271" t="s">
        <v>1142</v>
      </c>
      <c r="F18" s="14"/>
      <c r="G18" s="146" t="s">
        <v>1143</v>
      </c>
      <c r="H18" s="147" t="b">
        <v>0</v>
      </c>
      <c r="I18" s="147" t="b">
        <v>0</v>
      </c>
      <c r="J18" s="215" t="s">
        <v>721</v>
      </c>
      <c r="K18" s="14"/>
      <c r="L18" s="123" t="s">
        <v>1144</v>
      </c>
      <c r="M18" s="255">
        <f t="shared" ref="M18:N18" si="3">COUNTA(H3:H8,H11:H15,H18:H21,H24:H26,H29:H31,H34:H36)</f>
        <v>24</v>
      </c>
      <c r="N18" s="261">
        <f t="shared" si="3"/>
        <v>24</v>
      </c>
      <c r="O18" s="82"/>
    </row>
    <row r="19" spans="2:15" ht="12.5">
      <c r="B19" s="149" t="s">
        <v>1145</v>
      </c>
      <c r="C19" s="14" t="b">
        <v>1</v>
      </c>
      <c r="D19" s="14" t="b">
        <v>1</v>
      </c>
      <c r="E19" s="271" t="s">
        <v>1146</v>
      </c>
      <c r="F19" s="14"/>
      <c r="G19" s="149" t="s">
        <v>1147</v>
      </c>
      <c r="H19" s="14" t="b">
        <v>0</v>
      </c>
      <c r="I19" s="14" t="b">
        <v>0</v>
      </c>
      <c r="J19" s="129" t="s">
        <v>721</v>
      </c>
      <c r="K19" s="14"/>
      <c r="L19" s="14"/>
      <c r="M19" s="14"/>
      <c r="N19" s="14"/>
      <c r="O19" s="14"/>
    </row>
    <row r="20" spans="2:15" ht="12.5">
      <c r="B20" s="149" t="s">
        <v>1148</v>
      </c>
      <c r="C20" s="14" t="b">
        <v>1</v>
      </c>
      <c r="D20" s="14" t="b">
        <v>0</v>
      </c>
      <c r="E20" s="129" t="s">
        <v>721</v>
      </c>
      <c r="F20" s="14"/>
      <c r="G20" s="149" t="s">
        <v>1149</v>
      </c>
      <c r="H20" s="14" t="b">
        <v>0</v>
      </c>
      <c r="I20" s="14" t="b">
        <v>0</v>
      </c>
      <c r="J20" s="129" t="s">
        <v>721</v>
      </c>
      <c r="K20" s="14"/>
      <c r="M20" s="14"/>
      <c r="N20" s="14"/>
    </row>
    <row r="21" spans="2:15" ht="12.5">
      <c r="B21" s="149" t="s">
        <v>1150</v>
      </c>
      <c r="C21" s="14" t="b">
        <v>1</v>
      </c>
      <c r="D21" s="14" t="b">
        <v>1</v>
      </c>
      <c r="E21" s="271" t="s">
        <v>1151</v>
      </c>
      <c r="G21" s="162" t="s">
        <v>1152</v>
      </c>
      <c r="H21" s="163" t="b">
        <v>1</v>
      </c>
      <c r="I21" s="163" t="b">
        <v>1</v>
      </c>
      <c r="J21" s="216" t="s">
        <v>721</v>
      </c>
      <c r="M21" s="14"/>
      <c r="N21" s="14"/>
    </row>
    <row r="22" spans="2:15" ht="12.5">
      <c r="B22" s="149" t="s">
        <v>1153</v>
      </c>
      <c r="C22" s="14" t="b">
        <v>1</v>
      </c>
      <c r="D22" s="14" t="b">
        <v>1</v>
      </c>
      <c r="E22" s="271" t="s">
        <v>1154</v>
      </c>
      <c r="M22" s="14"/>
      <c r="N22" s="14"/>
    </row>
    <row r="23" spans="2:15" ht="13">
      <c r="B23" s="149" t="s">
        <v>1155</v>
      </c>
      <c r="C23" s="14" t="b">
        <v>1</v>
      </c>
      <c r="D23" s="14" t="b">
        <v>0</v>
      </c>
      <c r="E23" s="129" t="s">
        <v>721</v>
      </c>
      <c r="G23" s="101" t="s">
        <v>1131</v>
      </c>
      <c r="H23" s="101" t="s">
        <v>86</v>
      </c>
      <c r="I23" s="101" t="s">
        <v>87</v>
      </c>
      <c r="J23" s="102" t="s">
        <v>110</v>
      </c>
      <c r="M23" s="14"/>
      <c r="N23" s="14"/>
    </row>
    <row r="24" spans="2:15" ht="12.5">
      <c r="B24" s="149" t="s">
        <v>1156</v>
      </c>
      <c r="C24" s="14" t="b">
        <v>1</v>
      </c>
      <c r="D24" s="14" t="b">
        <v>1</v>
      </c>
      <c r="E24" s="271" t="s">
        <v>1157</v>
      </c>
      <c r="G24" s="149" t="s">
        <v>1158</v>
      </c>
      <c r="H24" s="14" t="b">
        <v>1</v>
      </c>
      <c r="I24" s="14" t="b">
        <v>1</v>
      </c>
      <c r="J24" s="129" t="s">
        <v>318</v>
      </c>
      <c r="M24" s="14"/>
      <c r="N24" s="14"/>
    </row>
    <row r="25" spans="2:15" ht="12.5">
      <c r="B25" s="149" t="s">
        <v>1159</v>
      </c>
      <c r="C25" s="14" t="b">
        <v>1</v>
      </c>
      <c r="D25" s="14" t="b">
        <v>1</v>
      </c>
      <c r="E25" s="271" t="s">
        <v>1160</v>
      </c>
      <c r="G25" s="149" t="s">
        <v>1161</v>
      </c>
      <c r="H25" s="14" t="b">
        <v>1</v>
      </c>
      <c r="I25" s="14" t="b">
        <v>1</v>
      </c>
      <c r="J25" s="129" t="s">
        <v>318</v>
      </c>
      <c r="M25" s="14"/>
      <c r="N25" s="14"/>
    </row>
    <row r="26" spans="2:15" ht="12.5">
      <c r="B26" s="149" t="s">
        <v>1162</v>
      </c>
      <c r="C26" s="14" t="b">
        <v>1</v>
      </c>
      <c r="D26" s="14" t="b">
        <v>0</v>
      </c>
      <c r="E26" s="271" t="s">
        <v>1163</v>
      </c>
      <c r="G26" s="162" t="s">
        <v>1164</v>
      </c>
      <c r="H26" s="163" t="b">
        <v>1</v>
      </c>
      <c r="I26" s="163" t="b">
        <v>1</v>
      </c>
      <c r="J26" s="216" t="s">
        <v>318</v>
      </c>
      <c r="M26" s="14"/>
      <c r="N26" s="14"/>
    </row>
    <row r="27" spans="2:15" ht="12.5">
      <c r="B27" s="10" t="s">
        <v>1165</v>
      </c>
      <c r="C27" s="13" t="b">
        <v>0</v>
      </c>
      <c r="D27" s="13" t="b">
        <v>0</v>
      </c>
      <c r="E27" s="272" t="s">
        <v>1166</v>
      </c>
      <c r="M27" s="14"/>
      <c r="N27" s="14"/>
    </row>
    <row r="28" spans="2:15" ht="13">
      <c r="B28" s="149" t="s">
        <v>1167</v>
      </c>
      <c r="C28" s="14" t="b">
        <v>1</v>
      </c>
      <c r="D28" s="14" t="b">
        <v>1</v>
      </c>
      <c r="E28" s="271" t="s">
        <v>1168</v>
      </c>
      <c r="G28" s="101" t="s">
        <v>1135</v>
      </c>
      <c r="H28" s="101" t="s">
        <v>86</v>
      </c>
      <c r="I28" s="101" t="s">
        <v>87</v>
      </c>
      <c r="J28" s="102" t="s">
        <v>110</v>
      </c>
      <c r="M28" s="14"/>
      <c r="N28" s="14"/>
    </row>
    <row r="29" spans="2:15" ht="12.5">
      <c r="B29" s="149" t="s">
        <v>1169</v>
      </c>
      <c r="C29" s="14" t="b">
        <v>1</v>
      </c>
      <c r="D29" s="14" t="b">
        <v>1</v>
      </c>
      <c r="E29" s="271" t="s">
        <v>1170</v>
      </c>
      <c r="G29" s="146" t="s">
        <v>1171</v>
      </c>
      <c r="H29" s="147" t="b">
        <v>1</v>
      </c>
      <c r="I29" s="147" t="b">
        <v>1</v>
      </c>
      <c r="J29" s="215" t="s">
        <v>318</v>
      </c>
      <c r="M29" s="14"/>
      <c r="N29" s="14"/>
    </row>
    <row r="30" spans="2:15" ht="12.5">
      <c r="B30" s="149" t="s">
        <v>1172</v>
      </c>
      <c r="C30" s="14" t="b">
        <v>1</v>
      </c>
      <c r="D30" s="14" t="b">
        <v>1</v>
      </c>
      <c r="E30" s="129" t="s">
        <v>721</v>
      </c>
      <c r="G30" s="149" t="s">
        <v>1173</v>
      </c>
      <c r="H30" s="14" t="b">
        <v>1</v>
      </c>
      <c r="I30" s="14" t="b">
        <v>1</v>
      </c>
      <c r="J30" s="129" t="s">
        <v>318</v>
      </c>
      <c r="M30" s="14"/>
      <c r="N30" s="14"/>
    </row>
    <row r="31" spans="2:15" ht="12.5">
      <c r="B31" s="149" t="s">
        <v>1174</v>
      </c>
      <c r="C31" s="14" t="b">
        <v>0</v>
      </c>
      <c r="D31" s="14" t="b">
        <v>0</v>
      </c>
      <c r="E31" s="271" t="s">
        <v>1175</v>
      </c>
      <c r="G31" s="162" t="s">
        <v>1176</v>
      </c>
      <c r="H31" s="163" t="b">
        <v>1</v>
      </c>
      <c r="I31" s="163" t="b">
        <v>1</v>
      </c>
      <c r="J31" s="216" t="s">
        <v>318</v>
      </c>
      <c r="M31" s="14"/>
      <c r="N31" s="14"/>
    </row>
    <row r="32" spans="2:15" ht="12.5">
      <c r="B32" s="149" t="s">
        <v>1177</v>
      </c>
      <c r="C32" s="14" t="b">
        <v>1</v>
      </c>
      <c r="D32" s="14" t="b">
        <v>1</v>
      </c>
      <c r="E32" s="129" t="s">
        <v>721</v>
      </c>
      <c r="M32" s="14"/>
      <c r="N32" s="14"/>
    </row>
    <row r="33" spans="2:14" ht="13">
      <c r="B33" s="162" t="s">
        <v>1178</v>
      </c>
      <c r="C33" s="163" t="b">
        <v>1</v>
      </c>
      <c r="D33" s="163" t="b">
        <v>1</v>
      </c>
      <c r="E33" s="273" t="s">
        <v>1179</v>
      </c>
      <c r="G33" s="101" t="s">
        <v>1180</v>
      </c>
      <c r="H33" s="101" t="s">
        <v>86</v>
      </c>
      <c r="I33" s="101" t="s">
        <v>87</v>
      </c>
      <c r="J33" s="102" t="s">
        <v>110</v>
      </c>
      <c r="M33" s="14"/>
      <c r="N33" s="14"/>
    </row>
    <row r="34" spans="2:14" ht="12.5">
      <c r="G34" s="146" t="s">
        <v>1181</v>
      </c>
      <c r="H34" s="147" t="b">
        <v>1</v>
      </c>
      <c r="I34" s="147" t="b">
        <v>1</v>
      </c>
      <c r="J34" s="215" t="s">
        <v>1182</v>
      </c>
      <c r="M34" s="14"/>
      <c r="N34" s="14"/>
    </row>
    <row r="35" spans="2:14" ht="13">
      <c r="B35" s="274" t="s">
        <v>1183</v>
      </c>
      <c r="C35" s="275" t="s">
        <v>86</v>
      </c>
      <c r="D35" s="275" t="s">
        <v>87</v>
      </c>
      <c r="E35" s="276" t="s">
        <v>110</v>
      </c>
      <c r="G35" s="149" t="s">
        <v>1184</v>
      </c>
      <c r="H35" s="14" t="b">
        <v>0</v>
      </c>
      <c r="I35" s="14" t="b">
        <v>0</v>
      </c>
      <c r="J35" s="215" t="s">
        <v>1182</v>
      </c>
      <c r="M35" s="14"/>
      <c r="N35" s="14"/>
    </row>
    <row r="36" spans="2:14" ht="12.5">
      <c r="B36" s="114" t="s">
        <v>1185</v>
      </c>
      <c r="C36" s="4" t="b">
        <v>0</v>
      </c>
      <c r="D36" s="4" t="b">
        <v>0</v>
      </c>
      <c r="E36" s="206" t="s">
        <v>115</v>
      </c>
      <c r="G36" s="162" t="s">
        <v>1186</v>
      </c>
      <c r="H36" s="163" t="b">
        <v>0</v>
      </c>
      <c r="I36" s="163" t="b">
        <v>0</v>
      </c>
      <c r="J36" s="215" t="s">
        <v>1182</v>
      </c>
      <c r="M36" s="14"/>
      <c r="N36" s="14"/>
    </row>
    <row r="37" spans="2:14" ht="12.5">
      <c r="B37" s="10" t="s">
        <v>1187</v>
      </c>
      <c r="C37" s="13" t="b">
        <v>0</v>
      </c>
      <c r="D37" s="13" t="b">
        <v>0</v>
      </c>
      <c r="E37" s="113" t="s">
        <v>115</v>
      </c>
      <c r="M37" s="14"/>
      <c r="N37" s="14"/>
    </row>
    <row r="38" spans="2:14" ht="12.5">
      <c r="B38" s="149" t="s">
        <v>1188</v>
      </c>
      <c r="C38" s="14" t="b">
        <v>0</v>
      </c>
      <c r="D38" s="14" t="b">
        <v>0</v>
      </c>
      <c r="E38" s="113" t="s">
        <v>115</v>
      </c>
      <c r="M38" s="14"/>
      <c r="N38" s="14"/>
    </row>
    <row r="39" spans="2:14" ht="12.5">
      <c r="B39" s="149" t="s">
        <v>1189</v>
      </c>
      <c r="C39" s="14" t="b">
        <v>1</v>
      </c>
      <c r="D39" s="14" t="b">
        <v>1</v>
      </c>
      <c r="E39" s="113" t="s">
        <v>115</v>
      </c>
      <c r="M39" s="14"/>
      <c r="N39" s="14"/>
    </row>
    <row r="40" spans="2:14" ht="12.5">
      <c r="B40" s="149" t="s">
        <v>1190</v>
      </c>
      <c r="C40" s="14" t="b">
        <v>0</v>
      </c>
      <c r="D40" s="14" t="b">
        <v>0</v>
      </c>
      <c r="E40" s="113" t="s">
        <v>115</v>
      </c>
      <c r="M40" s="14"/>
      <c r="N40" s="14"/>
    </row>
    <row r="41" spans="2:14" ht="12.5">
      <c r="B41" s="162" t="s">
        <v>1191</v>
      </c>
      <c r="C41" s="163" t="b">
        <v>0</v>
      </c>
      <c r="D41" s="163" t="b">
        <v>0</v>
      </c>
      <c r="E41" s="135" t="s">
        <v>115</v>
      </c>
      <c r="M41" s="14"/>
      <c r="N41" s="14"/>
    </row>
    <row r="42" spans="2:14" ht="12.5">
      <c r="M42" s="14"/>
      <c r="N42" s="14"/>
    </row>
    <row r="43" spans="2:14" ht="13">
      <c r="B43" s="274" t="s">
        <v>1192</v>
      </c>
      <c r="C43" s="275" t="s">
        <v>86</v>
      </c>
      <c r="D43" s="275" t="s">
        <v>87</v>
      </c>
      <c r="E43" s="276" t="s">
        <v>110</v>
      </c>
      <c r="M43" s="14"/>
      <c r="N43" s="14"/>
    </row>
    <row r="44" spans="2:14" ht="12.5">
      <c r="B44" s="146" t="s">
        <v>1193</v>
      </c>
      <c r="C44" s="147" t="b">
        <v>0</v>
      </c>
      <c r="D44" s="147" t="b">
        <v>0</v>
      </c>
      <c r="E44" s="269" t="s">
        <v>1194</v>
      </c>
      <c r="M44" s="14"/>
      <c r="N44" s="14"/>
    </row>
    <row r="45" spans="2:14" ht="12.5">
      <c r="B45" s="149" t="s">
        <v>1195</v>
      </c>
      <c r="C45" s="14" t="b">
        <v>0</v>
      </c>
      <c r="D45" s="14" t="b">
        <v>0</v>
      </c>
      <c r="E45" s="271" t="s">
        <v>1196</v>
      </c>
      <c r="J45" s="277"/>
      <c r="M45" s="14"/>
      <c r="N45" s="14"/>
    </row>
    <row r="46" spans="2:14" ht="12.5">
      <c r="B46" s="149" t="s">
        <v>1197</v>
      </c>
      <c r="C46" s="14" t="b">
        <v>0</v>
      </c>
      <c r="D46" s="14" t="b">
        <v>0</v>
      </c>
      <c r="E46" s="271" t="s">
        <v>1198</v>
      </c>
      <c r="M46" s="14"/>
      <c r="N46" s="14"/>
    </row>
    <row r="47" spans="2:14" ht="12.5">
      <c r="B47" s="149" t="s">
        <v>1199</v>
      </c>
      <c r="C47" s="14" t="b">
        <v>0</v>
      </c>
      <c r="D47" s="14" t="b">
        <v>0</v>
      </c>
      <c r="E47" s="271" t="s">
        <v>1200</v>
      </c>
      <c r="M47" s="14"/>
      <c r="N47" s="14"/>
    </row>
    <row r="48" spans="2:14" ht="12.5">
      <c r="B48" s="10" t="s">
        <v>1201</v>
      </c>
      <c r="C48" s="13" t="b">
        <v>0</v>
      </c>
      <c r="D48" s="13" t="b">
        <v>0</v>
      </c>
      <c r="E48" s="272" t="s">
        <v>1202</v>
      </c>
      <c r="M48" s="14"/>
      <c r="N48" s="14"/>
    </row>
    <row r="49" spans="2:14" ht="12.5">
      <c r="B49" s="15" t="s">
        <v>1203</v>
      </c>
      <c r="C49" s="16" t="b">
        <v>1</v>
      </c>
      <c r="D49" s="16" t="b">
        <v>1</v>
      </c>
      <c r="E49" s="278" t="s">
        <v>1204</v>
      </c>
      <c r="M49" s="14"/>
      <c r="N49" s="14"/>
    </row>
    <row r="50" spans="2:14" ht="12.5">
      <c r="M50" s="14"/>
      <c r="N50" s="14"/>
    </row>
    <row r="51" spans="2:14" ht="12.5">
      <c r="M51" s="14"/>
      <c r="N51" s="14"/>
    </row>
    <row r="52" spans="2:14" ht="12.5">
      <c r="M52" s="14"/>
      <c r="N52" s="14"/>
    </row>
    <row r="53" spans="2:14" ht="12.5">
      <c r="M53" s="14"/>
      <c r="N53" s="14"/>
    </row>
    <row r="54" spans="2:14" ht="12.5">
      <c r="M54" s="14"/>
      <c r="N54" s="14"/>
    </row>
    <row r="55" spans="2:14" ht="12.5">
      <c r="M55" s="14"/>
      <c r="N55" s="14"/>
    </row>
    <row r="56" spans="2:14" ht="12.5">
      <c r="M56" s="14"/>
      <c r="N56" s="14"/>
    </row>
    <row r="57" spans="2:14" ht="12.5">
      <c r="M57" s="14"/>
      <c r="N57" s="14"/>
    </row>
    <row r="58" spans="2:14" ht="12.5">
      <c r="M58" s="14"/>
      <c r="N58" s="14"/>
    </row>
    <row r="59" spans="2:14" ht="12.5">
      <c r="M59" s="14"/>
      <c r="N59" s="14"/>
    </row>
    <row r="60" spans="2:14" ht="12.5">
      <c r="M60" s="14"/>
      <c r="N60" s="14"/>
    </row>
    <row r="61" spans="2:14" ht="12.5">
      <c r="M61" s="14"/>
      <c r="N61" s="14"/>
    </row>
    <row r="62" spans="2:14" ht="12.5">
      <c r="M62" s="14"/>
      <c r="N62" s="14"/>
    </row>
    <row r="63" spans="2:14" ht="12.5">
      <c r="M63" s="14"/>
      <c r="N63" s="14"/>
    </row>
    <row r="64" spans="2:14" ht="12.5">
      <c r="M64" s="14"/>
      <c r="N64" s="14"/>
    </row>
    <row r="65" spans="13:14" ht="12.5">
      <c r="M65" s="14"/>
      <c r="N65" s="14"/>
    </row>
    <row r="66" spans="13:14" ht="12.5">
      <c r="M66" s="14"/>
      <c r="N66" s="14"/>
    </row>
    <row r="67" spans="13:14" ht="12.5">
      <c r="M67" s="14"/>
      <c r="N67" s="14"/>
    </row>
    <row r="68" spans="13:14" ht="12.5">
      <c r="M68" s="14"/>
      <c r="N68" s="14"/>
    </row>
    <row r="69" spans="13:14" ht="12.5">
      <c r="M69" s="14"/>
      <c r="N69" s="14"/>
    </row>
    <row r="70" spans="13:14" ht="12.5">
      <c r="M70" s="14"/>
      <c r="N70" s="14"/>
    </row>
    <row r="71" spans="13:14" ht="12.5">
      <c r="M71" s="14"/>
      <c r="N71" s="14"/>
    </row>
    <row r="72" spans="13:14" ht="12.5">
      <c r="M72" s="14"/>
      <c r="N72" s="14"/>
    </row>
    <row r="73" spans="13:14" ht="12.5">
      <c r="M73" s="14"/>
      <c r="N73" s="14"/>
    </row>
    <row r="74" spans="13:14" ht="12.5">
      <c r="M74" s="14"/>
      <c r="N74" s="14"/>
    </row>
    <row r="75" spans="13:14" ht="12.5">
      <c r="M75" s="14"/>
      <c r="N75" s="14"/>
    </row>
    <row r="76" spans="13:14" ht="12.5">
      <c r="M76" s="14"/>
      <c r="N76" s="14"/>
    </row>
    <row r="77" spans="13:14" ht="12.5">
      <c r="M77" s="14"/>
      <c r="N77" s="14"/>
    </row>
    <row r="78" spans="13:14" ht="12.5">
      <c r="M78" s="14"/>
      <c r="N78" s="14"/>
    </row>
    <row r="79" spans="13:14" ht="12.5">
      <c r="M79" s="14"/>
      <c r="N79" s="14"/>
    </row>
    <row r="80" spans="13:14" ht="12.5">
      <c r="M80" s="14"/>
      <c r="N80" s="14"/>
    </row>
    <row r="81" spans="13:14" ht="12.5">
      <c r="M81" s="14"/>
      <c r="N81" s="14"/>
    </row>
    <row r="82" spans="13:14" ht="12.5">
      <c r="M82" s="14"/>
      <c r="N82" s="14"/>
    </row>
    <row r="83" spans="13:14" ht="12.5">
      <c r="M83" s="14"/>
      <c r="N83" s="14"/>
    </row>
    <row r="84" spans="13:14" ht="12.5">
      <c r="M84" s="14"/>
      <c r="N84" s="14"/>
    </row>
    <row r="85" spans="13:14" ht="12.5">
      <c r="M85" s="14"/>
      <c r="N85" s="14"/>
    </row>
    <row r="86" spans="13:14" ht="12.5">
      <c r="M86" s="14"/>
      <c r="N86" s="14"/>
    </row>
    <row r="87" spans="13:14" ht="12.5">
      <c r="M87" s="14"/>
      <c r="N87" s="14"/>
    </row>
    <row r="88" spans="13:14" ht="12.5">
      <c r="M88" s="14"/>
      <c r="N88" s="14"/>
    </row>
    <row r="89" spans="13:14" ht="12.5">
      <c r="M89" s="14"/>
      <c r="N89" s="14"/>
    </row>
    <row r="90" spans="13:14" ht="12.5">
      <c r="M90" s="14"/>
      <c r="N90" s="14"/>
    </row>
    <row r="91" spans="13:14" ht="12.5">
      <c r="M91" s="14"/>
      <c r="N91" s="14"/>
    </row>
    <row r="92" spans="13:14" ht="12.5">
      <c r="M92" s="14"/>
      <c r="N92" s="14"/>
    </row>
    <row r="93" spans="13:14" ht="12.5">
      <c r="M93" s="14"/>
      <c r="N93" s="14"/>
    </row>
    <row r="94" spans="13:14" ht="12.5">
      <c r="M94" s="14"/>
      <c r="N94" s="14"/>
    </row>
    <row r="95" spans="13:14" ht="12.5">
      <c r="M95" s="14"/>
      <c r="N95" s="14"/>
    </row>
    <row r="96" spans="13:14" ht="12.5">
      <c r="M96" s="14"/>
      <c r="N96" s="14"/>
    </row>
    <row r="97" spans="13:14" ht="12.5">
      <c r="M97" s="14"/>
      <c r="N97" s="14"/>
    </row>
    <row r="98" spans="13:14" ht="12.5">
      <c r="M98" s="14"/>
      <c r="N98" s="14"/>
    </row>
    <row r="99" spans="13:14" ht="12.5">
      <c r="M99" s="14"/>
      <c r="N99" s="14"/>
    </row>
    <row r="100" spans="13:14" ht="12.5">
      <c r="M100" s="14"/>
      <c r="N100" s="14"/>
    </row>
    <row r="101" spans="13:14" ht="12.5">
      <c r="M101" s="14"/>
      <c r="N101" s="14"/>
    </row>
    <row r="102" spans="13:14" ht="12.5">
      <c r="M102" s="14"/>
      <c r="N102" s="14"/>
    </row>
    <row r="103" spans="13:14" ht="12.5">
      <c r="M103" s="14"/>
      <c r="N103" s="14"/>
    </row>
    <row r="104" spans="13:14" ht="12.5">
      <c r="M104" s="14"/>
      <c r="N104" s="14"/>
    </row>
    <row r="105" spans="13:14" ht="12.5">
      <c r="M105" s="14"/>
      <c r="N105" s="14"/>
    </row>
    <row r="106" spans="13:14" ht="12.5">
      <c r="M106" s="14"/>
      <c r="N106" s="14"/>
    </row>
    <row r="107" spans="13:14" ht="12.5">
      <c r="M107" s="14"/>
      <c r="N107" s="14"/>
    </row>
    <row r="108" spans="13:14" ht="12.5">
      <c r="M108" s="14"/>
      <c r="N108" s="14"/>
    </row>
    <row r="109" spans="13:14" ht="12.5">
      <c r="M109" s="14"/>
      <c r="N109" s="14"/>
    </row>
    <row r="110" spans="13:14" ht="12.5">
      <c r="M110" s="14"/>
      <c r="N110" s="14"/>
    </row>
    <row r="111" spans="13:14" ht="12.5">
      <c r="M111" s="14"/>
      <c r="N111" s="14"/>
    </row>
    <row r="112" spans="13:14" ht="12.5">
      <c r="M112" s="14"/>
      <c r="N112" s="14"/>
    </row>
    <row r="113" spans="13:14" ht="12.5">
      <c r="M113" s="14"/>
      <c r="N113" s="14"/>
    </row>
    <row r="114" spans="13:14" ht="12.5">
      <c r="M114" s="14"/>
      <c r="N114" s="14"/>
    </row>
    <row r="115" spans="13:14" ht="12.5">
      <c r="M115" s="14"/>
      <c r="N115" s="14"/>
    </row>
    <row r="116" spans="13:14" ht="12.5">
      <c r="M116" s="14"/>
      <c r="N116" s="14"/>
    </row>
    <row r="117" spans="13:14" ht="12.5">
      <c r="M117" s="14"/>
      <c r="N117" s="14"/>
    </row>
    <row r="118" spans="13:14" ht="12.5">
      <c r="M118" s="14"/>
      <c r="N118" s="14"/>
    </row>
    <row r="119" spans="13:14" ht="12.5">
      <c r="M119" s="14"/>
      <c r="N119" s="14"/>
    </row>
    <row r="120" spans="13:14" ht="12.5">
      <c r="M120" s="14"/>
      <c r="N120" s="14"/>
    </row>
    <row r="121" spans="13:14" ht="12.5">
      <c r="M121" s="14"/>
      <c r="N121" s="14"/>
    </row>
    <row r="122" spans="13:14" ht="12.5">
      <c r="M122" s="14"/>
      <c r="N122" s="14"/>
    </row>
    <row r="123" spans="13:14" ht="12.5">
      <c r="M123" s="14"/>
      <c r="N123" s="14"/>
    </row>
    <row r="124" spans="13:14" ht="12.5">
      <c r="M124" s="14"/>
      <c r="N124" s="14"/>
    </row>
    <row r="125" spans="13:14" ht="12.5">
      <c r="M125" s="14"/>
      <c r="N125" s="14"/>
    </row>
    <row r="126" spans="13:14" ht="12.5">
      <c r="M126" s="14"/>
      <c r="N126" s="14"/>
    </row>
    <row r="127" spans="13:14" ht="12.5">
      <c r="M127" s="14"/>
      <c r="N127" s="14"/>
    </row>
    <row r="128" spans="13:14" ht="12.5">
      <c r="M128" s="14"/>
      <c r="N128" s="14"/>
    </row>
    <row r="129" spans="13:14" ht="12.5">
      <c r="M129" s="14"/>
      <c r="N129" s="14"/>
    </row>
    <row r="130" spans="13:14" ht="12.5">
      <c r="M130" s="14"/>
      <c r="N130" s="14"/>
    </row>
    <row r="131" spans="13:14" ht="12.5">
      <c r="M131" s="14"/>
      <c r="N131" s="14"/>
    </row>
    <row r="132" spans="13:14" ht="12.5">
      <c r="M132" s="14"/>
      <c r="N132" s="14"/>
    </row>
    <row r="133" spans="13:14" ht="12.5">
      <c r="M133" s="14"/>
      <c r="N133" s="14"/>
    </row>
    <row r="134" spans="13:14" ht="12.5">
      <c r="M134" s="14"/>
      <c r="N134" s="14"/>
    </row>
    <row r="135" spans="13:14" ht="12.5">
      <c r="M135" s="14"/>
      <c r="N135" s="14"/>
    </row>
    <row r="136" spans="13:14" ht="12.5">
      <c r="M136" s="14"/>
      <c r="N136" s="14"/>
    </row>
    <row r="137" spans="13:14" ht="12.5">
      <c r="M137" s="14"/>
      <c r="N137" s="14"/>
    </row>
    <row r="138" spans="13:14" ht="12.5">
      <c r="M138" s="14"/>
      <c r="N138" s="14"/>
    </row>
    <row r="139" spans="13:14" ht="12.5">
      <c r="M139" s="14"/>
      <c r="N139" s="14"/>
    </row>
    <row r="140" spans="13:14" ht="12.5">
      <c r="M140" s="14"/>
      <c r="N140" s="14"/>
    </row>
    <row r="141" spans="13:14" ht="12.5">
      <c r="M141" s="14"/>
      <c r="N141" s="14"/>
    </row>
    <row r="142" spans="13:14" ht="12.5">
      <c r="M142" s="14"/>
      <c r="N142" s="14"/>
    </row>
    <row r="143" spans="13:14" ht="12.5">
      <c r="M143" s="14"/>
      <c r="N143" s="14"/>
    </row>
    <row r="144" spans="13:14" ht="12.5">
      <c r="M144" s="14"/>
      <c r="N144" s="14"/>
    </row>
    <row r="145" spans="13:14" ht="12.5">
      <c r="M145" s="14"/>
      <c r="N145" s="14"/>
    </row>
    <row r="146" spans="13:14" ht="12.5">
      <c r="M146" s="14"/>
      <c r="N146" s="14"/>
    </row>
    <row r="147" spans="13:14" ht="12.5">
      <c r="M147" s="14"/>
      <c r="N147" s="14"/>
    </row>
    <row r="148" spans="13:14" ht="12.5">
      <c r="M148" s="14"/>
      <c r="N148" s="14"/>
    </row>
    <row r="149" spans="13:14" ht="12.5">
      <c r="M149" s="14"/>
      <c r="N149" s="14"/>
    </row>
    <row r="150" spans="13:14" ht="12.5">
      <c r="M150" s="14"/>
      <c r="N150" s="14"/>
    </row>
    <row r="151" spans="13:14" ht="12.5">
      <c r="M151" s="14"/>
      <c r="N151" s="14"/>
    </row>
    <row r="152" spans="13:14" ht="12.5">
      <c r="M152" s="14"/>
      <c r="N152" s="14"/>
    </row>
    <row r="153" spans="13:14" ht="12.5">
      <c r="M153" s="14"/>
      <c r="N153" s="14"/>
    </row>
    <row r="154" spans="13:14" ht="12.5">
      <c r="M154" s="14"/>
      <c r="N154" s="14"/>
    </row>
    <row r="155" spans="13:14" ht="12.5">
      <c r="M155" s="14"/>
      <c r="N155" s="14"/>
    </row>
    <row r="156" spans="13:14" ht="12.5">
      <c r="M156" s="14"/>
      <c r="N156" s="14"/>
    </row>
    <row r="157" spans="13:14" ht="12.5">
      <c r="M157" s="14"/>
      <c r="N157" s="14"/>
    </row>
    <row r="158" spans="13:14" ht="12.5">
      <c r="M158" s="14"/>
      <c r="N158" s="14"/>
    </row>
    <row r="159" spans="13:14" ht="12.5">
      <c r="M159" s="14"/>
      <c r="N159" s="14"/>
    </row>
    <row r="160" spans="13:14" ht="12.5">
      <c r="M160" s="14"/>
      <c r="N160" s="14"/>
    </row>
    <row r="161" spans="13:14" ht="12.5">
      <c r="M161" s="14"/>
      <c r="N161" s="14"/>
    </row>
    <row r="162" spans="13:14" ht="12.5">
      <c r="M162" s="14"/>
      <c r="N162" s="14"/>
    </row>
    <row r="163" spans="13:14" ht="12.5">
      <c r="M163" s="14"/>
      <c r="N163" s="14"/>
    </row>
    <row r="164" spans="13:14" ht="12.5">
      <c r="M164" s="14"/>
      <c r="N164" s="14"/>
    </row>
    <row r="165" spans="13:14" ht="12.5">
      <c r="M165" s="14"/>
      <c r="N165" s="14"/>
    </row>
    <row r="166" spans="13:14" ht="12.5">
      <c r="M166" s="14"/>
      <c r="N166" s="14"/>
    </row>
    <row r="167" spans="13:14" ht="12.5">
      <c r="M167" s="14"/>
      <c r="N167" s="14"/>
    </row>
    <row r="168" spans="13:14" ht="12.5">
      <c r="M168" s="14"/>
      <c r="N168" s="14"/>
    </row>
    <row r="169" spans="13:14" ht="12.5">
      <c r="M169" s="14"/>
      <c r="N169" s="14"/>
    </row>
    <row r="170" spans="13:14" ht="12.5">
      <c r="M170" s="14"/>
      <c r="N170" s="14"/>
    </row>
    <row r="171" spans="13:14" ht="12.5">
      <c r="M171" s="14"/>
      <c r="N171" s="14"/>
    </row>
    <row r="172" spans="13:14" ht="12.5">
      <c r="M172" s="14"/>
      <c r="N172" s="14"/>
    </row>
    <row r="173" spans="13:14" ht="12.5">
      <c r="M173" s="14"/>
      <c r="N173" s="14"/>
    </row>
    <row r="174" spans="13:14" ht="12.5">
      <c r="M174" s="14"/>
      <c r="N174" s="14"/>
    </row>
    <row r="175" spans="13:14" ht="12.5">
      <c r="M175" s="14"/>
      <c r="N175" s="14"/>
    </row>
    <row r="176" spans="13:14" ht="12.5">
      <c r="M176" s="14"/>
      <c r="N176" s="14"/>
    </row>
    <row r="177" spans="13:14" ht="12.5">
      <c r="M177" s="14"/>
      <c r="N177" s="14"/>
    </row>
    <row r="178" spans="13:14" ht="12.5">
      <c r="M178" s="14"/>
      <c r="N178" s="14"/>
    </row>
    <row r="179" spans="13:14" ht="12.5">
      <c r="M179" s="14"/>
      <c r="N179" s="14"/>
    </row>
    <row r="180" spans="13:14" ht="12.5">
      <c r="M180" s="14"/>
      <c r="N180" s="14"/>
    </row>
    <row r="181" spans="13:14" ht="12.5">
      <c r="M181" s="14"/>
      <c r="N181" s="14"/>
    </row>
    <row r="182" spans="13:14" ht="12.5">
      <c r="M182" s="14"/>
      <c r="N182" s="14"/>
    </row>
    <row r="183" spans="13:14" ht="12.5">
      <c r="M183" s="14"/>
      <c r="N183" s="14"/>
    </row>
    <row r="184" spans="13:14" ht="12.5">
      <c r="M184" s="14"/>
      <c r="N184" s="14"/>
    </row>
    <row r="185" spans="13:14" ht="12.5">
      <c r="M185" s="14"/>
      <c r="N185" s="14"/>
    </row>
    <row r="186" spans="13:14" ht="12.5">
      <c r="M186" s="14"/>
      <c r="N186" s="14"/>
    </row>
    <row r="187" spans="13:14" ht="12.5">
      <c r="M187" s="14"/>
      <c r="N187" s="14"/>
    </row>
    <row r="188" spans="13:14" ht="12.5">
      <c r="M188" s="14"/>
      <c r="N188" s="14"/>
    </row>
    <row r="189" spans="13:14" ht="12.5">
      <c r="M189" s="14"/>
      <c r="N189" s="14"/>
    </row>
    <row r="190" spans="13:14" ht="12.5">
      <c r="M190" s="14"/>
      <c r="N190" s="14"/>
    </row>
    <row r="191" spans="13:14" ht="12.5">
      <c r="M191" s="14"/>
      <c r="N191" s="14"/>
    </row>
    <row r="192" spans="13:14" ht="12.5">
      <c r="M192" s="14"/>
      <c r="N192" s="14"/>
    </row>
    <row r="193" spans="13:14" ht="12.5">
      <c r="M193" s="14"/>
      <c r="N193" s="14"/>
    </row>
    <row r="194" spans="13:14" ht="12.5">
      <c r="M194" s="14"/>
      <c r="N194" s="14"/>
    </row>
    <row r="195" spans="13:14" ht="12.5">
      <c r="M195" s="14"/>
      <c r="N195" s="14"/>
    </row>
    <row r="196" spans="13:14" ht="12.5">
      <c r="M196" s="14"/>
      <c r="N196" s="14"/>
    </row>
    <row r="197" spans="13:14" ht="12.5">
      <c r="M197" s="14"/>
      <c r="N197" s="14"/>
    </row>
    <row r="198" spans="13:14" ht="12.5">
      <c r="M198" s="14"/>
      <c r="N198" s="14"/>
    </row>
    <row r="199" spans="13:14" ht="12.5">
      <c r="M199" s="14"/>
      <c r="N199" s="14"/>
    </row>
    <row r="200" spans="13:14" ht="12.5">
      <c r="M200" s="14"/>
      <c r="N200" s="14"/>
    </row>
    <row r="201" spans="13:14" ht="12.5">
      <c r="M201" s="14"/>
      <c r="N201" s="14"/>
    </row>
    <row r="202" spans="13:14" ht="12.5">
      <c r="M202" s="14"/>
      <c r="N202" s="14"/>
    </row>
    <row r="203" spans="13:14" ht="12.5">
      <c r="M203" s="14"/>
      <c r="N203" s="14"/>
    </row>
    <row r="204" spans="13:14" ht="12.5">
      <c r="M204" s="14"/>
      <c r="N204" s="14"/>
    </row>
    <row r="205" spans="13:14" ht="12.5">
      <c r="M205" s="14"/>
      <c r="N205" s="14"/>
    </row>
    <row r="206" spans="13:14" ht="12.5">
      <c r="M206" s="14"/>
      <c r="N206" s="14"/>
    </row>
    <row r="207" spans="13:14" ht="12.5">
      <c r="M207" s="14"/>
      <c r="N207" s="14"/>
    </row>
    <row r="208" spans="13:14" ht="12.5">
      <c r="M208" s="14"/>
      <c r="N208" s="14"/>
    </row>
    <row r="209" spans="13:14" ht="12.5">
      <c r="M209" s="14"/>
      <c r="N209" s="14"/>
    </row>
    <row r="210" spans="13:14" ht="12.5">
      <c r="M210" s="14"/>
      <c r="N210" s="14"/>
    </row>
    <row r="211" spans="13:14" ht="12.5">
      <c r="M211" s="14"/>
      <c r="N211" s="14"/>
    </row>
    <row r="212" spans="13:14" ht="12.5">
      <c r="M212" s="14"/>
      <c r="N212" s="14"/>
    </row>
    <row r="213" spans="13:14" ht="12.5">
      <c r="M213" s="14"/>
      <c r="N213" s="14"/>
    </row>
    <row r="214" spans="13:14" ht="12.5">
      <c r="M214" s="14"/>
      <c r="N214" s="14"/>
    </row>
    <row r="215" spans="13:14" ht="12.5">
      <c r="M215" s="14"/>
      <c r="N215" s="14"/>
    </row>
    <row r="216" spans="13:14" ht="12.5">
      <c r="M216" s="14"/>
      <c r="N216" s="14"/>
    </row>
    <row r="217" spans="13:14" ht="12.5">
      <c r="M217" s="14"/>
      <c r="N217" s="14"/>
    </row>
    <row r="218" spans="13:14" ht="12.5">
      <c r="M218" s="14"/>
      <c r="N218" s="14"/>
    </row>
    <row r="219" spans="13:14" ht="12.5">
      <c r="M219" s="14"/>
      <c r="N219" s="14"/>
    </row>
    <row r="220" spans="13:14" ht="12.5">
      <c r="M220" s="14"/>
      <c r="N220" s="14"/>
    </row>
    <row r="221" spans="13:14" ht="12.5">
      <c r="M221" s="14"/>
      <c r="N221" s="14"/>
    </row>
    <row r="222" spans="13:14" ht="12.5">
      <c r="M222" s="14"/>
      <c r="N222" s="14"/>
    </row>
    <row r="223" spans="13:14" ht="12.5">
      <c r="M223" s="14"/>
      <c r="N223" s="14"/>
    </row>
    <row r="224" spans="13:14" ht="12.5">
      <c r="M224" s="14"/>
      <c r="N224" s="14"/>
    </row>
    <row r="225" spans="13:14" ht="12.5">
      <c r="M225" s="14"/>
      <c r="N225" s="14"/>
    </row>
    <row r="226" spans="13:14" ht="12.5">
      <c r="M226" s="14"/>
      <c r="N226" s="14"/>
    </row>
    <row r="227" spans="13:14" ht="12.5">
      <c r="M227" s="14"/>
      <c r="N227" s="14"/>
    </row>
    <row r="228" spans="13:14" ht="12.5">
      <c r="M228" s="14"/>
      <c r="N228" s="14"/>
    </row>
    <row r="229" spans="13:14" ht="12.5">
      <c r="M229" s="14"/>
      <c r="N229" s="14"/>
    </row>
    <row r="230" spans="13:14" ht="12.5">
      <c r="M230" s="14"/>
      <c r="N230" s="14"/>
    </row>
    <row r="231" spans="13:14" ht="12.5">
      <c r="M231" s="14"/>
      <c r="N231" s="14"/>
    </row>
    <row r="232" spans="13:14" ht="12.5">
      <c r="M232" s="14"/>
      <c r="N232" s="14"/>
    </row>
    <row r="233" spans="13:14" ht="12.5">
      <c r="M233" s="14"/>
      <c r="N233" s="14"/>
    </row>
    <row r="234" spans="13:14" ht="12.5">
      <c r="M234" s="14"/>
      <c r="N234" s="14"/>
    </row>
    <row r="235" spans="13:14" ht="12.5">
      <c r="M235" s="14"/>
      <c r="N235" s="14"/>
    </row>
    <row r="236" spans="13:14" ht="12.5">
      <c r="M236" s="14"/>
      <c r="N236" s="14"/>
    </row>
    <row r="237" spans="13:14" ht="12.5">
      <c r="M237" s="14"/>
      <c r="N237" s="14"/>
    </row>
    <row r="238" spans="13:14" ht="12.5">
      <c r="M238" s="14"/>
      <c r="N238" s="14"/>
    </row>
    <row r="239" spans="13:14" ht="12.5">
      <c r="M239" s="14"/>
      <c r="N239" s="14"/>
    </row>
    <row r="240" spans="13:14" ht="12.5">
      <c r="M240" s="14"/>
      <c r="N240" s="14"/>
    </row>
    <row r="241" spans="13:14" ht="12.5">
      <c r="M241" s="14"/>
      <c r="N241" s="14"/>
    </row>
    <row r="242" spans="13:14" ht="12.5">
      <c r="M242" s="14"/>
      <c r="N242" s="14"/>
    </row>
    <row r="243" spans="13:14" ht="12.5">
      <c r="M243" s="14"/>
      <c r="N243" s="14"/>
    </row>
    <row r="244" spans="13:14" ht="12.5">
      <c r="M244" s="14"/>
      <c r="N244" s="14"/>
    </row>
    <row r="245" spans="13:14" ht="12.5">
      <c r="M245" s="14"/>
      <c r="N245" s="14"/>
    </row>
    <row r="246" spans="13:14" ht="12.5">
      <c r="M246" s="14"/>
      <c r="N246" s="14"/>
    </row>
    <row r="247" spans="13:14" ht="12.5">
      <c r="M247" s="14"/>
      <c r="N247" s="14"/>
    </row>
    <row r="248" spans="13:14" ht="12.5">
      <c r="M248" s="14"/>
      <c r="N248" s="14"/>
    </row>
    <row r="249" spans="13:14" ht="12.5">
      <c r="M249" s="14"/>
      <c r="N249" s="14"/>
    </row>
    <row r="250" spans="13:14" ht="12.5">
      <c r="M250" s="14"/>
      <c r="N250" s="14"/>
    </row>
    <row r="251" spans="13:14" ht="12.5">
      <c r="M251" s="14"/>
      <c r="N251" s="14"/>
    </row>
    <row r="252" spans="13:14" ht="12.5">
      <c r="M252" s="14"/>
      <c r="N252" s="14"/>
    </row>
    <row r="253" spans="13:14" ht="12.5">
      <c r="M253" s="14"/>
      <c r="N253" s="14"/>
    </row>
    <row r="254" spans="13:14" ht="12.5">
      <c r="M254" s="14"/>
      <c r="N254" s="14"/>
    </row>
    <row r="255" spans="13:14" ht="12.5">
      <c r="M255" s="14"/>
      <c r="N255" s="14"/>
    </row>
    <row r="256" spans="13:14" ht="12.5">
      <c r="M256" s="14"/>
      <c r="N256" s="14"/>
    </row>
    <row r="257" spans="13:14" ht="12.5">
      <c r="M257" s="14"/>
      <c r="N257" s="14"/>
    </row>
    <row r="258" spans="13:14" ht="12.5">
      <c r="M258" s="14"/>
      <c r="N258" s="14"/>
    </row>
    <row r="259" spans="13:14" ht="12.5">
      <c r="M259" s="14"/>
      <c r="N259" s="14"/>
    </row>
    <row r="260" spans="13:14" ht="12.5">
      <c r="M260" s="14"/>
      <c r="N260" s="14"/>
    </row>
    <row r="261" spans="13:14" ht="12.5">
      <c r="M261" s="14"/>
      <c r="N261" s="14"/>
    </row>
    <row r="262" spans="13:14" ht="12.5">
      <c r="M262" s="14"/>
      <c r="N262" s="14"/>
    </row>
    <row r="263" spans="13:14" ht="12.5">
      <c r="M263" s="14"/>
      <c r="N263" s="14"/>
    </row>
    <row r="264" spans="13:14" ht="12.5">
      <c r="M264" s="14"/>
      <c r="N264" s="14"/>
    </row>
    <row r="265" spans="13:14" ht="12.5">
      <c r="M265" s="14"/>
      <c r="N265" s="14"/>
    </row>
    <row r="266" spans="13:14" ht="12.5">
      <c r="M266" s="14"/>
      <c r="N266" s="14"/>
    </row>
    <row r="267" spans="13:14" ht="12.5">
      <c r="M267" s="14"/>
      <c r="N267" s="14"/>
    </row>
    <row r="268" spans="13:14" ht="12.5">
      <c r="M268" s="14"/>
      <c r="N268" s="14"/>
    </row>
    <row r="269" spans="13:14" ht="12.5">
      <c r="M269" s="14"/>
      <c r="N269" s="14"/>
    </row>
    <row r="270" spans="13:14" ht="12.5">
      <c r="M270" s="14"/>
      <c r="N270" s="14"/>
    </row>
    <row r="271" spans="13:14" ht="12.5">
      <c r="M271" s="14"/>
      <c r="N271" s="14"/>
    </row>
    <row r="272" spans="13:14" ht="12.5">
      <c r="M272" s="14"/>
      <c r="N272" s="14"/>
    </row>
    <row r="273" spans="13:14" ht="12.5">
      <c r="M273" s="14"/>
      <c r="N273" s="14"/>
    </row>
    <row r="274" spans="13:14" ht="12.5">
      <c r="M274" s="14"/>
      <c r="N274" s="14"/>
    </row>
    <row r="275" spans="13:14" ht="12.5">
      <c r="M275" s="14"/>
      <c r="N275" s="14"/>
    </row>
    <row r="276" spans="13:14" ht="12.5">
      <c r="M276" s="14"/>
      <c r="N276" s="14"/>
    </row>
    <row r="277" spans="13:14" ht="12.5">
      <c r="M277" s="14"/>
      <c r="N277" s="14"/>
    </row>
    <row r="278" spans="13:14" ht="12.5">
      <c r="M278" s="14"/>
      <c r="N278" s="14"/>
    </row>
    <row r="279" spans="13:14" ht="12.5">
      <c r="M279" s="14"/>
      <c r="N279" s="14"/>
    </row>
    <row r="280" spans="13:14" ht="12.5">
      <c r="M280" s="14"/>
      <c r="N280" s="14"/>
    </row>
    <row r="281" spans="13:14" ht="12.5">
      <c r="M281" s="14"/>
      <c r="N281" s="14"/>
    </row>
    <row r="282" spans="13:14" ht="12.5">
      <c r="M282" s="14"/>
      <c r="N282" s="14"/>
    </row>
    <row r="283" spans="13:14" ht="12.5">
      <c r="M283" s="14"/>
      <c r="N283" s="14"/>
    </row>
    <row r="284" spans="13:14" ht="12.5">
      <c r="M284" s="14"/>
      <c r="N284" s="14"/>
    </row>
    <row r="285" spans="13:14" ht="12.5">
      <c r="M285" s="14"/>
      <c r="N285" s="14"/>
    </row>
    <row r="286" spans="13:14" ht="12.5">
      <c r="M286" s="14"/>
      <c r="N286" s="14"/>
    </row>
    <row r="287" spans="13:14" ht="12.5">
      <c r="M287" s="14"/>
      <c r="N287" s="14"/>
    </row>
    <row r="288" spans="13:14" ht="12.5">
      <c r="M288" s="14"/>
      <c r="N288" s="14"/>
    </row>
    <row r="289" spans="13:14" ht="12.5">
      <c r="M289" s="14"/>
      <c r="N289" s="14"/>
    </row>
    <row r="290" spans="13:14" ht="12.5">
      <c r="M290" s="14"/>
      <c r="N290" s="14"/>
    </row>
    <row r="291" spans="13:14" ht="12.5">
      <c r="M291" s="14"/>
      <c r="N291" s="14"/>
    </row>
    <row r="292" spans="13:14" ht="12.5">
      <c r="M292" s="14"/>
      <c r="N292" s="14"/>
    </row>
    <row r="293" spans="13:14" ht="12.5">
      <c r="M293" s="14"/>
      <c r="N293" s="14"/>
    </row>
    <row r="294" spans="13:14" ht="12.5">
      <c r="M294" s="14"/>
      <c r="N294" s="14"/>
    </row>
    <row r="295" spans="13:14" ht="12.5">
      <c r="M295" s="14"/>
      <c r="N295" s="14"/>
    </row>
    <row r="296" spans="13:14" ht="12.5">
      <c r="M296" s="14"/>
      <c r="N296" s="14"/>
    </row>
    <row r="297" spans="13:14" ht="12.5">
      <c r="M297" s="14"/>
      <c r="N297" s="14"/>
    </row>
    <row r="298" spans="13:14" ht="12.5">
      <c r="M298" s="14"/>
      <c r="N298" s="14"/>
    </row>
    <row r="299" spans="13:14" ht="12.5">
      <c r="M299" s="14"/>
      <c r="N299" s="14"/>
    </row>
    <row r="300" spans="13:14" ht="12.5">
      <c r="M300" s="14"/>
      <c r="N300" s="14"/>
    </row>
    <row r="301" spans="13:14" ht="12.5">
      <c r="M301" s="14"/>
      <c r="N301" s="14"/>
    </row>
    <row r="302" spans="13:14" ht="12.5">
      <c r="M302" s="14"/>
      <c r="N302" s="14"/>
    </row>
    <row r="303" spans="13:14" ht="12.5">
      <c r="M303" s="14"/>
      <c r="N303" s="14"/>
    </row>
    <row r="304" spans="13:14" ht="12.5">
      <c r="M304" s="14"/>
      <c r="N304" s="14"/>
    </row>
    <row r="305" spans="13:14" ht="12.5">
      <c r="M305" s="14"/>
      <c r="N305" s="14"/>
    </row>
    <row r="306" spans="13:14" ht="12.5">
      <c r="M306" s="14"/>
      <c r="N306" s="14"/>
    </row>
    <row r="307" spans="13:14" ht="12.5">
      <c r="M307" s="14"/>
      <c r="N307" s="14"/>
    </row>
    <row r="308" spans="13:14" ht="12.5">
      <c r="M308" s="14"/>
      <c r="N308" s="14"/>
    </row>
    <row r="309" spans="13:14" ht="12.5">
      <c r="M309" s="14"/>
      <c r="N309" s="14"/>
    </row>
    <row r="310" spans="13:14" ht="12.5">
      <c r="M310" s="14"/>
      <c r="N310" s="14"/>
    </row>
    <row r="311" spans="13:14" ht="12.5">
      <c r="M311" s="14"/>
      <c r="N311" s="14"/>
    </row>
    <row r="312" spans="13:14" ht="12.5">
      <c r="M312" s="14"/>
      <c r="N312" s="14"/>
    </row>
    <row r="313" spans="13:14" ht="12.5">
      <c r="M313" s="14"/>
      <c r="N313" s="14"/>
    </row>
    <row r="314" spans="13:14" ht="12.5">
      <c r="M314" s="14"/>
      <c r="N314" s="14"/>
    </row>
    <row r="315" spans="13:14" ht="12.5">
      <c r="M315" s="14"/>
      <c r="N315" s="14"/>
    </row>
    <row r="316" spans="13:14" ht="12.5">
      <c r="M316" s="14"/>
      <c r="N316" s="14"/>
    </row>
    <row r="317" spans="13:14" ht="12.5">
      <c r="M317" s="14"/>
      <c r="N317" s="14"/>
    </row>
    <row r="318" spans="13:14" ht="12.5">
      <c r="M318" s="14"/>
      <c r="N318" s="14"/>
    </row>
    <row r="319" spans="13:14" ht="12.5">
      <c r="M319" s="14"/>
      <c r="N319" s="14"/>
    </row>
    <row r="320" spans="13:14" ht="12.5">
      <c r="M320" s="14"/>
      <c r="N320" s="14"/>
    </row>
    <row r="321" spans="13:14" ht="12.5">
      <c r="M321" s="14"/>
      <c r="N321" s="14"/>
    </row>
    <row r="322" spans="13:14" ht="12.5">
      <c r="M322" s="14"/>
      <c r="N322" s="14"/>
    </row>
    <row r="323" spans="13:14" ht="12.5">
      <c r="M323" s="14"/>
      <c r="N323" s="14"/>
    </row>
    <row r="324" spans="13:14" ht="12.5">
      <c r="M324" s="14"/>
      <c r="N324" s="14"/>
    </row>
    <row r="325" spans="13:14" ht="12.5">
      <c r="M325" s="14"/>
      <c r="N325" s="14"/>
    </row>
    <row r="326" spans="13:14" ht="12.5">
      <c r="M326" s="14"/>
      <c r="N326" s="14"/>
    </row>
    <row r="327" spans="13:14" ht="12.5">
      <c r="M327" s="14"/>
      <c r="N327" s="14"/>
    </row>
    <row r="328" spans="13:14" ht="12.5">
      <c r="M328" s="14"/>
      <c r="N328" s="14"/>
    </row>
    <row r="329" spans="13:14" ht="12.5">
      <c r="M329" s="14"/>
      <c r="N329" s="14"/>
    </row>
    <row r="330" spans="13:14" ht="12.5">
      <c r="M330" s="14"/>
      <c r="N330" s="14"/>
    </row>
    <row r="331" spans="13:14" ht="12.5">
      <c r="M331" s="14"/>
      <c r="N331" s="14"/>
    </row>
    <row r="332" spans="13:14" ht="12.5">
      <c r="M332" s="14"/>
      <c r="N332" s="14"/>
    </row>
    <row r="333" spans="13:14" ht="12.5">
      <c r="M333" s="14"/>
      <c r="N333" s="14"/>
    </row>
    <row r="334" spans="13:14" ht="12.5">
      <c r="M334" s="14"/>
      <c r="N334" s="14"/>
    </row>
    <row r="335" spans="13:14" ht="12.5">
      <c r="M335" s="14"/>
      <c r="N335" s="14"/>
    </row>
    <row r="336" spans="13:14" ht="12.5">
      <c r="M336" s="14"/>
      <c r="N336" s="14"/>
    </row>
    <row r="337" spans="13:14" ht="12.5">
      <c r="M337" s="14"/>
      <c r="N337" s="14"/>
    </row>
    <row r="338" spans="13:14" ht="12.5">
      <c r="M338" s="14"/>
      <c r="N338" s="14"/>
    </row>
    <row r="339" spans="13:14" ht="12.5">
      <c r="M339" s="14"/>
      <c r="N339" s="14"/>
    </row>
    <row r="340" spans="13:14" ht="12.5">
      <c r="M340" s="14"/>
      <c r="N340" s="14"/>
    </row>
    <row r="341" spans="13:14" ht="12.5">
      <c r="M341" s="14"/>
      <c r="N341" s="14"/>
    </row>
    <row r="342" spans="13:14" ht="12.5">
      <c r="M342" s="14"/>
      <c r="N342" s="14"/>
    </row>
    <row r="343" spans="13:14" ht="12.5">
      <c r="M343" s="14"/>
      <c r="N343" s="14"/>
    </row>
    <row r="344" spans="13:14" ht="12.5">
      <c r="M344" s="14"/>
      <c r="N344" s="14"/>
    </row>
    <row r="345" spans="13:14" ht="12.5">
      <c r="M345" s="14"/>
      <c r="N345" s="14"/>
    </row>
    <row r="346" spans="13:14" ht="12.5">
      <c r="M346" s="14"/>
      <c r="N346" s="14"/>
    </row>
    <row r="347" spans="13:14" ht="12.5">
      <c r="M347" s="14"/>
      <c r="N347" s="14"/>
    </row>
    <row r="348" spans="13:14" ht="12.5">
      <c r="M348" s="14"/>
      <c r="N348" s="14"/>
    </row>
    <row r="349" spans="13:14" ht="12.5">
      <c r="M349" s="14"/>
      <c r="N349" s="14"/>
    </row>
    <row r="350" spans="13:14" ht="12.5">
      <c r="M350" s="14"/>
      <c r="N350" s="14"/>
    </row>
    <row r="351" spans="13:14" ht="12.5">
      <c r="M351" s="14"/>
      <c r="N351" s="14"/>
    </row>
    <row r="352" spans="13:14" ht="12.5">
      <c r="M352" s="14"/>
      <c r="N352" s="14"/>
    </row>
    <row r="353" spans="13:14" ht="12.5">
      <c r="M353" s="14"/>
      <c r="N353" s="14"/>
    </row>
    <row r="354" spans="13:14" ht="12.5">
      <c r="M354" s="14"/>
      <c r="N354" s="14"/>
    </row>
    <row r="355" spans="13:14" ht="12.5">
      <c r="M355" s="14"/>
      <c r="N355" s="14"/>
    </row>
    <row r="356" spans="13:14" ht="12.5">
      <c r="M356" s="14"/>
      <c r="N356" s="14"/>
    </row>
    <row r="357" spans="13:14" ht="12.5">
      <c r="M357" s="14"/>
      <c r="N357" s="14"/>
    </row>
    <row r="358" spans="13:14" ht="12.5">
      <c r="M358" s="14"/>
      <c r="N358" s="14"/>
    </row>
    <row r="359" spans="13:14" ht="12.5">
      <c r="M359" s="14"/>
      <c r="N359" s="14"/>
    </row>
    <row r="360" spans="13:14" ht="12.5">
      <c r="M360" s="14"/>
      <c r="N360" s="14"/>
    </row>
    <row r="361" spans="13:14" ht="12.5">
      <c r="M361" s="14"/>
      <c r="N361" s="14"/>
    </row>
    <row r="362" spans="13:14" ht="12.5">
      <c r="M362" s="14"/>
      <c r="N362" s="14"/>
    </row>
    <row r="363" spans="13:14" ht="12.5">
      <c r="M363" s="14"/>
      <c r="N363" s="14"/>
    </row>
    <row r="364" spans="13:14" ht="12.5">
      <c r="M364" s="14"/>
      <c r="N364" s="14"/>
    </row>
    <row r="365" spans="13:14" ht="12.5">
      <c r="M365" s="14"/>
      <c r="N365" s="14"/>
    </row>
    <row r="366" spans="13:14" ht="12.5">
      <c r="M366" s="14"/>
      <c r="N366" s="14"/>
    </row>
    <row r="367" spans="13:14" ht="12.5">
      <c r="M367" s="14"/>
      <c r="N367" s="14"/>
    </row>
    <row r="368" spans="13:14" ht="12.5">
      <c r="M368" s="14"/>
      <c r="N368" s="14"/>
    </row>
    <row r="369" spans="13:14" ht="12.5">
      <c r="M369" s="14"/>
      <c r="N369" s="14"/>
    </row>
    <row r="370" spans="13:14" ht="12.5">
      <c r="M370" s="14"/>
      <c r="N370" s="14"/>
    </row>
    <row r="371" spans="13:14" ht="12.5">
      <c r="M371" s="14"/>
      <c r="N371" s="14"/>
    </row>
    <row r="372" spans="13:14" ht="12.5">
      <c r="M372" s="14"/>
      <c r="N372" s="14"/>
    </row>
    <row r="373" spans="13:14" ht="12.5">
      <c r="M373" s="14"/>
      <c r="N373" s="14"/>
    </row>
    <row r="374" spans="13:14" ht="12.5">
      <c r="M374" s="14"/>
      <c r="N374" s="14"/>
    </row>
    <row r="375" spans="13:14" ht="12.5">
      <c r="M375" s="14"/>
      <c r="N375" s="14"/>
    </row>
    <row r="376" spans="13:14" ht="12.5">
      <c r="M376" s="14"/>
      <c r="N376" s="14"/>
    </row>
    <row r="377" spans="13:14" ht="12.5">
      <c r="M377" s="14"/>
      <c r="N377" s="14"/>
    </row>
    <row r="378" spans="13:14" ht="12.5">
      <c r="M378" s="14"/>
      <c r="N378" s="14"/>
    </row>
    <row r="379" spans="13:14" ht="12.5">
      <c r="M379" s="14"/>
      <c r="N379" s="14"/>
    </row>
    <row r="380" spans="13:14" ht="12.5">
      <c r="M380" s="14"/>
      <c r="N380" s="14"/>
    </row>
    <row r="381" spans="13:14" ht="12.5">
      <c r="M381" s="14"/>
      <c r="N381" s="14"/>
    </row>
    <row r="382" spans="13:14" ht="12.5">
      <c r="M382" s="14"/>
      <c r="N382" s="14"/>
    </row>
    <row r="383" spans="13:14" ht="12.5">
      <c r="M383" s="14"/>
      <c r="N383" s="14"/>
    </row>
    <row r="384" spans="13:14" ht="12.5">
      <c r="M384" s="14"/>
      <c r="N384" s="14"/>
    </row>
    <row r="385" spans="13:14" ht="12.5">
      <c r="M385" s="14"/>
      <c r="N385" s="14"/>
    </row>
    <row r="386" spans="13:14" ht="12.5">
      <c r="M386" s="14"/>
      <c r="N386" s="14"/>
    </row>
    <row r="387" spans="13:14" ht="12.5">
      <c r="M387" s="14"/>
      <c r="N387" s="14"/>
    </row>
    <row r="388" spans="13:14" ht="12.5">
      <c r="M388" s="14"/>
      <c r="N388" s="14"/>
    </row>
    <row r="389" spans="13:14" ht="12.5">
      <c r="M389" s="14"/>
      <c r="N389" s="14"/>
    </row>
    <row r="390" spans="13:14" ht="12.5">
      <c r="M390" s="14"/>
      <c r="N390" s="14"/>
    </row>
    <row r="391" spans="13:14" ht="12.5">
      <c r="M391" s="14"/>
      <c r="N391" s="14"/>
    </row>
    <row r="392" spans="13:14" ht="12.5">
      <c r="M392" s="14"/>
      <c r="N392" s="14"/>
    </row>
    <row r="393" spans="13:14" ht="12.5">
      <c r="M393" s="14"/>
      <c r="N393" s="14"/>
    </row>
    <row r="394" spans="13:14" ht="12.5">
      <c r="M394" s="14"/>
      <c r="N394" s="14"/>
    </row>
    <row r="395" spans="13:14" ht="12.5">
      <c r="M395" s="14"/>
      <c r="N395" s="14"/>
    </row>
    <row r="396" spans="13:14" ht="12.5">
      <c r="M396" s="14"/>
      <c r="N396" s="14"/>
    </row>
    <row r="397" spans="13:14" ht="12.5">
      <c r="M397" s="14"/>
      <c r="N397" s="14"/>
    </row>
    <row r="398" spans="13:14" ht="12.5">
      <c r="M398" s="14"/>
      <c r="N398" s="14"/>
    </row>
    <row r="399" spans="13:14" ht="12.5">
      <c r="M399" s="14"/>
      <c r="N399" s="14"/>
    </row>
    <row r="400" spans="13:14" ht="12.5">
      <c r="M400" s="14"/>
      <c r="N400" s="14"/>
    </row>
    <row r="401" spans="13:14" ht="12.5">
      <c r="M401" s="14"/>
      <c r="N401" s="14"/>
    </row>
    <row r="402" spans="13:14" ht="12.5">
      <c r="M402" s="14"/>
      <c r="N402" s="14"/>
    </row>
    <row r="403" spans="13:14" ht="12.5">
      <c r="M403" s="14"/>
      <c r="N403" s="14"/>
    </row>
    <row r="404" spans="13:14" ht="12.5">
      <c r="M404" s="14"/>
      <c r="N404" s="14"/>
    </row>
    <row r="405" spans="13:14" ht="12.5">
      <c r="M405" s="14"/>
      <c r="N405" s="14"/>
    </row>
    <row r="406" spans="13:14" ht="12.5">
      <c r="M406" s="14"/>
      <c r="N406" s="14"/>
    </row>
    <row r="407" spans="13:14" ht="12.5">
      <c r="M407" s="14"/>
      <c r="N407" s="14"/>
    </row>
    <row r="408" spans="13:14" ht="12.5">
      <c r="M408" s="14"/>
      <c r="N408" s="14"/>
    </row>
    <row r="409" spans="13:14" ht="12.5">
      <c r="M409" s="14"/>
      <c r="N409" s="14"/>
    </row>
    <row r="410" spans="13:14" ht="12.5">
      <c r="M410" s="14"/>
      <c r="N410" s="14"/>
    </row>
    <row r="411" spans="13:14" ht="12.5">
      <c r="M411" s="14"/>
      <c r="N411" s="14"/>
    </row>
    <row r="412" spans="13:14" ht="12.5">
      <c r="M412" s="14"/>
      <c r="N412" s="14"/>
    </row>
    <row r="413" spans="13:14" ht="12.5">
      <c r="M413" s="14"/>
      <c r="N413" s="14"/>
    </row>
    <row r="414" spans="13:14" ht="12.5">
      <c r="M414" s="14"/>
      <c r="N414" s="14"/>
    </row>
    <row r="415" spans="13:14" ht="12.5">
      <c r="M415" s="14"/>
      <c r="N415" s="14"/>
    </row>
    <row r="416" spans="13:14" ht="12.5">
      <c r="M416" s="14"/>
      <c r="N416" s="14"/>
    </row>
    <row r="417" spans="13:14" ht="12.5">
      <c r="M417" s="14"/>
      <c r="N417" s="14"/>
    </row>
    <row r="418" spans="13:14" ht="12.5">
      <c r="M418" s="14"/>
      <c r="N418" s="14"/>
    </row>
    <row r="419" spans="13:14" ht="12.5">
      <c r="M419" s="14"/>
      <c r="N419" s="14"/>
    </row>
    <row r="420" spans="13:14" ht="12.5">
      <c r="M420" s="14"/>
      <c r="N420" s="14"/>
    </row>
    <row r="421" spans="13:14" ht="12.5">
      <c r="M421" s="14"/>
      <c r="N421" s="14"/>
    </row>
    <row r="422" spans="13:14" ht="12.5">
      <c r="M422" s="14"/>
      <c r="N422" s="14"/>
    </row>
    <row r="423" spans="13:14" ht="12.5">
      <c r="M423" s="14"/>
      <c r="N423" s="14"/>
    </row>
    <row r="424" spans="13:14" ht="12.5">
      <c r="M424" s="14"/>
      <c r="N424" s="14"/>
    </row>
    <row r="425" spans="13:14" ht="12.5">
      <c r="M425" s="14"/>
      <c r="N425" s="14"/>
    </row>
    <row r="426" spans="13:14" ht="12.5">
      <c r="M426" s="14"/>
      <c r="N426" s="14"/>
    </row>
    <row r="427" spans="13:14" ht="12.5">
      <c r="M427" s="14"/>
      <c r="N427" s="14"/>
    </row>
    <row r="428" spans="13:14" ht="12.5">
      <c r="M428" s="14"/>
      <c r="N428" s="14"/>
    </row>
    <row r="429" spans="13:14" ht="12.5">
      <c r="M429" s="14"/>
      <c r="N429" s="14"/>
    </row>
    <row r="430" spans="13:14" ht="12.5">
      <c r="M430" s="14"/>
      <c r="N430" s="14"/>
    </row>
    <row r="431" spans="13:14" ht="12.5">
      <c r="M431" s="14"/>
      <c r="N431" s="14"/>
    </row>
    <row r="432" spans="13:14" ht="12.5">
      <c r="M432" s="14"/>
      <c r="N432" s="14"/>
    </row>
    <row r="433" spans="13:14" ht="12.5">
      <c r="M433" s="14"/>
      <c r="N433" s="14"/>
    </row>
    <row r="434" spans="13:14" ht="12.5">
      <c r="M434" s="14"/>
      <c r="N434" s="14"/>
    </row>
    <row r="435" spans="13:14" ht="12.5">
      <c r="M435" s="14"/>
      <c r="N435" s="14"/>
    </row>
    <row r="436" spans="13:14" ht="12.5">
      <c r="M436" s="14"/>
      <c r="N436" s="14"/>
    </row>
    <row r="437" spans="13:14" ht="12.5">
      <c r="M437" s="14"/>
      <c r="N437" s="14"/>
    </row>
    <row r="438" spans="13:14" ht="12.5">
      <c r="M438" s="14"/>
      <c r="N438" s="14"/>
    </row>
    <row r="439" spans="13:14" ht="12.5">
      <c r="M439" s="14"/>
      <c r="N439" s="14"/>
    </row>
    <row r="440" spans="13:14" ht="12.5">
      <c r="M440" s="14"/>
      <c r="N440" s="14"/>
    </row>
    <row r="441" spans="13:14" ht="12.5">
      <c r="M441" s="14"/>
      <c r="N441" s="14"/>
    </row>
    <row r="442" spans="13:14" ht="12.5">
      <c r="M442" s="14"/>
      <c r="N442" s="14"/>
    </row>
    <row r="443" spans="13:14" ht="12.5">
      <c r="M443" s="14"/>
      <c r="N443" s="14"/>
    </row>
    <row r="444" spans="13:14" ht="12.5">
      <c r="M444" s="14"/>
      <c r="N444" s="14"/>
    </row>
    <row r="445" spans="13:14" ht="12.5">
      <c r="M445" s="14"/>
      <c r="N445" s="14"/>
    </row>
    <row r="446" spans="13:14" ht="12.5">
      <c r="M446" s="14"/>
      <c r="N446" s="14"/>
    </row>
    <row r="447" spans="13:14" ht="12.5">
      <c r="M447" s="14"/>
      <c r="N447" s="14"/>
    </row>
    <row r="448" spans="13:14" ht="12.5">
      <c r="M448" s="14"/>
      <c r="N448" s="14"/>
    </row>
    <row r="449" spans="13:14" ht="12.5">
      <c r="M449" s="14"/>
      <c r="N449" s="14"/>
    </row>
    <row r="450" spans="13:14" ht="12.5">
      <c r="M450" s="14"/>
      <c r="N450" s="14"/>
    </row>
    <row r="451" spans="13:14" ht="12.5">
      <c r="M451" s="14"/>
      <c r="N451" s="14"/>
    </row>
    <row r="452" spans="13:14" ht="12.5">
      <c r="M452" s="14"/>
      <c r="N452" s="14"/>
    </row>
    <row r="453" spans="13:14" ht="12.5">
      <c r="M453" s="14"/>
      <c r="N453" s="14"/>
    </row>
    <row r="454" spans="13:14" ht="12.5">
      <c r="M454" s="14"/>
      <c r="N454" s="14"/>
    </row>
    <row r="455" spans="13:14" ht="12.5">
      <c r="M455" s="14"/>
      <c r="N455" s="14"/>
    </row>
    <row r="456" spans="13:14" ht="12.5">
      <c r="M456" s="14"/>
      <c r="N456" s="14"/>
    </row>
    <row r="457" spans="13:14" ht="12.5">
      <c r="M457" s="14"/>
      <c r="N457" s="14"/>
    </row>
    <row r="458" spans="13:14" ht="12.5">
      <c r="M458" s="14"/>
      <c r="N458" s="14"/>
    </row>
    <row r="459" spans="13:14" ht="12.5">
      <c r="M459" s="14"/>
      <c r="N459" s="14"/>
    </row>
    <row r="460" spans="13:14" ht="12.5">
      <c r="M460" s="14"/>
      <c r="N460" s="14"/>
    </row>
    <row r="461" spans="13:14" ht="12.5">
      <c r="M461" s="14"/>
      <c r="N461" s="14"/>
    </row>
    <row r="462" spans="13:14" ht="12.5">
      <c r="M462" s="14"/>
      <c r="N462" s="14"/>
    </row>
    <row r="463" spans="13:14" ht="12.5">
      <c r="M463" s="14"/>
      <c r="N463" s="14"/>
    </row>
    <row r="464" spans="13:14" ht="12.5">
      <c r="M464" s="14"/>
      <c r="N464" s="14"/>
    </row>
    <row r="465" spans="13:14" ht="12.5">
      <c r="M465" s="14"/>
      <c r="N465" s="14"/>
    </row>
    <row r="466" spans="13:14" ht="12.5">
      <c r="M466" s="14"/>
      <c r="N466" s="14"/>
    </row>
    <row r="467" spans="13:14" ht="12.5">
      <c r="M467" s="14"/>
      <c r="N467" s="14"/>
    </row>
    <row r="468" spans="13:14" ht="12.5">
      <c r="M468" s="14"/>
      <c r="N468" s="14"/>
    </row>
    <row r="469" spans="13:14" ht="12.5">
      <c r="M469" s="14"/>
      <c r="N469" s="14"/>
    </row>
    <row r="470" spans="13:14" ht="12.5">
      <c r="M470" s="14"/>
      <c r="N470" s="14"/>
    </row>
    <row r="471" spans="13:14" ht="12.5">
      <c r="M471" s="14"/>
      <c r="N471" s="14"/>
    </row>
    <row r="472" spans="13:14" ht="12.5">
      <c r="M472" s="14"/>
      <c r="N472" s="14"/>
    </row>
    <row r="473" spans="13:14" ht="12.5">
      <c r="M473" s="14"/>
      <c r="N473" s="14"/>
    </row>
    <row r="474" spans="13:14" ht="12.5">
      <c r="M474" s="14"/>
      <c r="N474" s="14"/>
    </row>
    <row r="475" spans="13:14" ht="12.5">
      <c r="M475" s="14"/>
      <c r="N475" s="14"/>
    </row>
    <row r="476" spans="13:14" ht="12.5">
      <c r="M476" s="14"/>
      <c r="N476" s="14"/>
    </row>
    <row r="477" spans="13:14" ht="12.5">
      <c r="M477" s="14"/>
      <c r="N477" s="14"/>
    </row>
    <row r="478" spans="13:14" ht="12.5">
      <c r="M478" s="14"/>
      <c r="N478" s="14"/>
    </row>
    <row r="479" spans="13:14" ht="12.5">
      <c r="M479" s="14"/>
      <c r="N479" s="14"/>
    </row>
    <row r="480" spans="13:14" ht="12.5">
      <c r="M480" s="14"/>
      <c r="N480" s="14"/>
    </row>
    <row r="481" spans="13:14" ht="12.5">
      <c r="M481" s="14"/>
      <c r="N481" s="14"/>
    </row>
    <row r="482" spans="13:14" ht="12.5">
      <c r="M482" s="14"/>
      <c r="N482" s="14"/>
    </row>
    <row r="483" spans="13:14" ht="12.5">
      <c r="M483" s="14"/>
      <c r="N483" s="14"/>
    </row>
    <row r="484" spans="13:14" ht="12.5">
      <c r="M484" s="14"/>
      <c r="N484" s="14"/>
    </row>
    <row r="485" spans="13:14" ht="12.5">
      <c r="M485" s="14"/>
      <c r="N485" s="14"/>
    </row>
    <row r="486" spans="13:14" ht="12.5">
      <c r="M486" s="14"/>
      <c r="N486" s="14"/>
    </row>
    <row r="487" spans="13:14" ht="12.5">
      <c r="M487" s="14"/>
      <c r="N487" s="14"/>
    </row>
    <row r="488" spans="13:14" ht="12.5">
      <c r="M488" s="14"/>
      <c r="N488" s="14"/>
    </row>
    <row r="489" spans="13:14" ht="12.5">
      <c r="M489" s="14"/>
      <c r="N489" s="14"/>
    </row>
    <row r="490" spans="13:14" ht="12.5">
      <c r="M490" s="14"/>
      <c r="N490" s="14"/>
    </row>
    <row r="491" spans="13:14" ht="12.5">
      <c r="M491" s="14"/>
      <c r="N491" s="14"/>
    </row>
    <row r="492" spans="13:14" ht="12.5">
      <c r="M492" s="14"/>
      <c r="N492" s="14"/>
    </row>
    <row r="493" spans="13:14" ht="12.5">
      <c r="M493" s="14"/>
      <c r="N493" s="14"/>
    </row>
    <row r="494" spans="13:14" ht="12.5">
      <c r="M494" s="14"/>
      <c r="N494" s="14"/>
    </row>
    <row r="495" spans="13:14" ht="12.5">
      <c r="M495" s="14"/>
      <c r="N495" s="14"/>
    </row>
    <row r="496" spans="13:14" ht="12.5">
      <c r="M496" s="14"/>
      <c r="N496" s="14"/>
    </row>
    <row r="497" spans="13:14" ht="12.5">
      <c r="M497" s="14"/>
      <c r="N497" s="14"/>
    </row>
    <row r="498" spans="13:14" ht="12.5">
      <c r="M498" s="14"/>
      <c r="N498" s="14"/>
    </row>
    <row r="499" spans="13:14" ht="12.5">
      <c r="M499" s="14"/>
      <c r="N499" s="14"/>
    </row>
    <row r="500" spans="13:14" ht="12.5">
      <c r="M500" s="14"/>
      <c r="N500" s="14"/>
    </row>
    <row r="501" spans="13:14" ht="12.5">
      <c r="M501" s="14"/>
      <c r="N501" s="14"/>
    </row>
    <row r="502" spans="13:14" ht="12.5">
      <c r="M502" s="14"/>
      <c r="N502" s="14"/>
    </row>
    <row r="503" spans="13:14" ht="12.5">
      <c r="M503" s="14"/>
      <c r="N503" s="14"/>
    </row>
    <row r="504" spans="13:14" ht="12.5">
      <c r="M504" s="14"/>
      <c r="N504" s="14"/>
    </row>
    <row r="505" spans="13:14" ht="12.5">
      <c r="M505" s="14"/>
      <c r="N505" s="14"/>
    </row>
    <row r="506" spans="13:14" ht="12.5">
      <c r="M506" s="14"/>
      <c r="N506" s="14"/>
    </row>
    <row r="507" spans="13:14" ht="12.5">
      <c r="M507" s="14"/>
      <c r="N507" s="14"/>
    </row>
    <row r="508" spans="13:14" ht="12.5">
      <c r="M508" s="14"/>
      <c r="N508" s="14"/>
    </row>
    <row r="509" spans="13:14" ht="12.5">
      <c r="M509" s="14"/>
      <c r="N509" s="14"/>
    </row>
    <row r="510" spans="13:14" ht="12.5">
      <c r="M510" s="14"/>
      <c r="N510" s="14"/>
    </row>
    <row r="511" spans="13:14" ht="12.5">
      <c r="M511" s="14"/>
      <c r="N511" s="14"/>
    </row>
    <row r="512" spans="13:14" ht="12.5">
      <c r="M512" s="14"/>
      <c r="N512" s="14"/>
    </row>
    <row r="513" spans="13:14" ht="12.5">
      <c r="M513" s="14"/>
      <c r="N513" s="14"/>
    </row>
    <row r="514" spans="13:14" ht="12.5">
      <c r="M514" s="14"/>
      <c r="N514" s="14"/>
    </row>
    <row r="515" spans="13:14" ht="12.5">
      <c r="M515" s="14"/>
      <c r="N515" s="14"/>
    </row>
    <row r="516" spans="13:14" ht="12.5">
      <c r="M516" s="14"/>
      <c r="N516" s="14"/>
    </row>
    <row r="517" spans="13:14" ht="12.5">
      <c r="M517" s="14"/>
      <c r="N517" s="14"/>
    </row>
    <row r="518" spans="13:14" ht="12.5">
      <c r="M518" s="14"/>
      <c r="N518" s="14"/>
    </row>
    <row r="519" spans="13:14" ht="12.5">
      <c r="M519" s="14"/>
      <c r="N519" s="14"/>
    </row>
    <row r="520" spans="13:14" ht="12.5">
      <c r="M520" s="14"/>
      <c r="N520" s="14"/>
    </row>
    <row r="521" spans="13:14" ht="12.5">
      <c r="M521" s="14"/>
      <c r="N521" s="14"/>
    </row>
    <row r="522" spans="13:14" ht="12.5">
      <c r="M522" s="14"/>
      <c r="N522" s="14"/>
    </row>
    <row r="523" spans="13:14" ht="12.5">
      <c r="M523" s="14"/>
      <c r="N523" s="14"/>
    </row>
    <row r="524" spans="13:14" ht="12.5">
      <c r="M524" s="14"/>
      <c r="N524" s="14"/>
    </row>
    <row r="525" spans="13:14" ht="12.5">
      <c r="M525" s="14"/>
      <c r="N525" s="14"/>
    </row>
    <row r="526" spans="13:14" ht="12.5">
      <c r="M526" s="14"/>
      <c r="N526" s="14"/>
    </row>
    <row r="527" spans="13:14" ht="12.5">
      <c r="M527" s="14"/>
      <c r="N527" s="14"/>
    </row>
    <row r="528" spans="13:14" ht="12.5">
      <c r="M528" s="14"/>
      <c r="N528" s="14"/>
    </row>
    <row r="529" spans="13:14" ht="12.5">
      <c r="M529" s="14"/>
      <c r="N529" s="14"/>
    </row>
    <row r="530" spans="13:14" ht="12.5">
      <c r="M530" s="14"/>
      <c r="N530" s="14"/>
    </row>
    <row r="531" spans="13:14" ht="12.5">
      <c r="M531" s="14"/>
      <c r="N531" s="14"/>
    </row>
    <row r="532" spans="13:14" ht="12.5">
      <c r="M532" s="14"/>
      <c r="N532" s="14"/>
    </row>
    <row r="533" spans="13:14" ht="12.5">
      <c r="M533" s="14"/>
      <c r="N533" s="14"/>
    </row>
    <row r="534" spans="13:14" ht="12.5">
      <c r="M534" s="14"/>
      <c r="N534" s="14"/>
    </row>
    <row r="535" spans="13:14" ht="12.5">
      <c r="M535" s="14"/>
      <c r="N535" s="14"/>
    </row>
    <row r="536" spans="13:14" ht="12.5">
      <c r="M536" s="14"/>
      <c r="N536" s="14"/>
    </row>
    <row r="537" spans="13:14" ht="12.5">
      <c r="M537" s="14"/>
      <c r="N537" s="14"/>
    </row>
    <row r="538" spans="13:14" ht="12.5">
      <c r="M538" s="14"/>
      <c r="N538" s="14"/>
    </row>
    <row r="539" spans="13:14" ht="12.5">
      <c r="M539" s="14"/>
      <c r="N539" s="14"/>
    </row>
    <row r="540" spans="13:14" ht="12.5">
      <c r="M540" s="14"/>
      <c r="N540" s="14"/>
    </row>
    <row r="541" spans="13:14" ht="12.5">
      <c r="M541" s="14"/>
      <c r="N541" s="14"/>
    </row>
    <row r="542" spans="13:14" ht="12.5">
      <c r="M542" s="14"/>
      <c r="N542" s="14"/>
    </row>
    <row r="543" spans="13:14" ht="12.5">
      <c r="M543" s="14"/>
      <c r="N543" s="14"/>
    </row>
    <row r="544" spans="13:14" ht="12.5">
      <c r="M544" s="14"/>
      <c r="N544" s="14"/>
    </row>
    <row r="545" spans="13:14" ht="12.5">
      <c r="M545" s="14"/>
      <c r="N545" s="14"/>
    </row>
    <row r="546" spans="13:14" ht="12.5">
      <c r="M546" s="14"/>
      <c r="N546" s="14"/>
    </row>
    <row r="547" spans="13:14" ht="12.5">
      <c r="M547" s="14"/>
      <c r="N547" s="14"/>
    </row>
    <row r="548" spans="13:14" ht="12.5">
      <c r="M548" s="14"/>
      <c r="N548" s="14"/>
    </row>
    <row r="549" spans="13:14" ht="12.5">
      <c r="M549" s="14"/>
      <c r="N549" s="14"/>
    </row>
    <row r="550" spans="13:14" ht="12.5">
      <c r="M550" s="14"/>
      <c r="N550" s="14"/>
    </row>
    <row r="551" spans="13:14" ht="12.5">
      <c r="M551" s="14"/>
      <c r="N551" s="14"/>
    </row>
    <row r="552" spans="13:14" ht="12.5">
      <c r="M552" s="14"/>
      <c r="N552" s="14"/>
    </row>
    <row r="553" spans="13:14" ht="12.5">
      <c r="M553" s="14"/>
      <c r="N553" s="14"/>
    </row>
    <row r="554" spans="13:14" ht="12.5">
      <c r="M554" s="14"/>
      <c r="N554" s="14"/>
    </row>
    <row r="555" spans="13:14" ht="12.5">
      <c r="M555" s="14"/>
      <c r="N555" s="14"/>
    </row>
    <row r="556" spans="13:14" ht="12.5">
      <c r="M556" s="14"/>
      <c r="N556" s="14"/>
    </row>
    <row r="557" spans="13:14" ht="12.5">
      <c r="M557" s="14"/>
      <c r="N557" s="14"/>
    </row>
    <row r="558" spans="13:14" ht="12.5">
      <c r="M558" s="14"/>
      <c r="N558" s="14"/>
    </row>
    <row r="559" spans="13:14" ht="12.5">
      <c r="M559" s="14"/>
      <c r="N559" s="14"/>
    </row>
    <row r="560" spans="13:14" ht="12.5">
      <c r="M560" s="14"/>
      <c r="N560" s="14"/>
    </row>
    <row r="561" spans="13:14" ht="12.5">
      <c r="M561" s="14"/>
      <c r="N561" s="14"/>
    </row>
    <row r="562" spans="13:14" ht="12.5">
      <c r="M562" s="14"/>
      <c r="N562" s="14"/>
    </row>
    <row r="563" spans="13:14" ht="12.5">
      <c r="M563" s="14"/>
      <c r="N563" s="14"/>
    </row>
    <row r="564" spans="13:14" ht="12.5">
      <c r="M564" s="14"/>
      <c r="N564" s="14"/>
    </row>
    <row r="565" spans="13:14" ht="12.5">
      <c r="M565" s="14"/>
      <c r="N565" s="14"/>
    </row>
    <row r="566" spans="13:14" ht="12.5">
      <c r="M566" s="14"/>
      <c r="N566" s="14"/>
    </row>
    <row r="567" spans="13:14" ht="12.5">
      <c r="M567" s="14"/>
      <c r="N567" s="14"/>
    </row>
    <row r="568" spans="13:14" ht="12.5">
      <c r="M568" s="14"/>
      <c r="N568" s="14"/>
    </row>
    <row r="569" spans="13:14" ht="12.5">
      <c r="M569" s="14"/>
      <c r="N569" s="14"/>
    </row>
    <row r="570" spans="13:14" ht="12.5">
      <c r="M570" s="14"/>
      <c r="N570" s="14"/>
    </row>
    <row r="571" spans="13:14" ht="12.5">
      <c r="M571" s="14"/>
      <c r="N571" s="14"/>
    </row>
    <row r="572" spans="13:14" ht="12.5">
      <c r="M572" s="14"/>
      <c r="N572" s="14"/>
    </row>
    <row r="573" spans="13:14" ht="12.5">
      <c r="M573" s="14"/>
      <c r="N573" s="14"/>
    </row>
    <row r="574" spans="13:14" ht="12.5">
      <c r="M574" s="14"/>
      <c r="N574" s="14"/>
    </row>
    <row r="575" spans="13:14" ht="12.5">
      <c r="M575" s="14"/>
      <c r="N575" s="14"/>
    </row>
    <row r="576" spans="13:14" ht="12.5">
      <c r="M576" s="14"/>
      <c r="N576" s="14"/>
    </row>
    <row r="577" spans="13:14" ht="12.5">
      <c r="M577" s="14"/>
      <c r="N577" s="14"/>
    </row>
    <row r="578" spans="13:14" ht="12.5">
      <c r="M578" s="14"/>
      <c r="N578" s="14"/>
    </row>
    <row r="579" spans="13:14" ht="12.5">
      <c r="M579" s="14"/>
      <c r="N579" s="14"/>
    </row>
    <row r="580" spans="13:14" ht="12.5">
      <c r="M580" s="14"/>
      <c r="N580" s="14"/>
    </row>
    <row r="581" spans="13:14" ht="12.5">
      <c r="M581" s="14"/>
      <c r="N581" s="14"/>
    </row>
    <row r="582" spans="13:14" ht="12.5">
      <c r="M582" s="14"/>
      <c r="N582" s="14"/>
    </row>
    <row r="583" spans="13:14" ht="12.5">
      <c r="M583" s="14"/>
      <c r="N583" s="14"/>
    </row>
    <row r="584" spans="13:14" ht="12.5">
      <c r="M584" s="14"/>
      <c r="N584" s="14"/>
    </row>
    <row r="585" spans="13:14" ht="12.5">
      <c r="M585" s="14"/>
      <c r="N585" s="14"/>
    </row>
    <row r="586" spans="13:14" ht="12.5">
      <c r="M586" s="14"/>
      <c r="N586" s="14"/>
    </row>
    <row r="587" spans="13:14" ht="12.5">
      <c r="M587" s="14"/>
      <c r="N587" s="14"/>
    </row>
    <row r="588" spans="13:14" ht="12.5">
      <c r="M588" s="14"/>
      <c r="N588" s="14"/>
    </row>
    <row r="589" spans="13:14" ht="12.5">
      <c r="M589" s="14"/>
      <c r="N589" s="14"/>
    </row>
    <row r="590" spans="13:14" ht="12.5">
      <c r="M590" s="14"/>
      <c r="N590" s="14"/>
    </row>
    <row r="591" spans="13:14" ht="12.5">
      <c r="M591" s="14"/>
      <c r="N591" s="14"/>
    </row>
    <row r="592" spans="13:14" ht="12.5">
      <c r="M592" s="14"/>
      <c r="N592" s="14"/>
    </row>
    <row r="593" spans="13:14" ht="12.5">
      <c r="M593" s="14"/>
      <c r="N593" s="14"/>
    </row>
    <row r="594" spans="13:14" ht="12.5">
      <c r="M594" s="14"/>
      <c r="N594" s="14"/>
    </row>
    <row r="595" spans="13:14" ht="12.5">
      <c r="M595" s="14"/>
      <c r="N595" s="14"/>
    </row>
    <row r="596" spans="13:14" ht="12.5">
      <c r="M596" s="14"/>
      <c r="N596" s="14"/>
    </row>
    <row r="597" spans="13:14" ht="12.5">
      <c r="M597" s="14"/>
      <c r="N597" s="14"/>
    </row>
    <row r="598" spans="13:14" ht="12.5">
      <c r="M598" s="14"/>
      <c r="N598" s="14"/>
    </row>
    <row r="599" spans="13:14" ht="12.5">
      <c r="M599" s="14"/>
      <c r="N599" s="14"/>
    </row>
    <row r="600" spans="13:14" ht="12.5">
      <c r="M600" s="14"/>
      <c r="N600" s="14"/>
    </row>
    <row r="601" spans="13:14" ht="12.5">
      <c r="M601" s="14"/>
      <c r="N601" s="14"/>
    </row>
    <row r="602" spans="13:14" ht="12.5">
      <c r="M602" s="14"/>
      <c r="N602" s="14"/>
    </row>
    <row r="603" spans="13:14" ht="12.5">
      <c r="M603" s="14"/>
      <c r="N603" s="14"/>
    </row>
    <row r="604" spans="13:14" ht="12.5">
      <c r="M604" s="14"/>
      <c r="N604" s="14"/>
    </row>
    <row r="605" spans="13:14" ht="12.5">
      <c r="M605" s="14"/>
      <c r="N605" s="14"/>
    </row>
    <row r="606" spans="13:14" ht="12.5">
      <c r="M606" s="14"/>
      <c r="N606" s="14"/>
    </row>
    <row r="607" spans="13:14" ht="12.5">
      <c r="M607" s="14"/>
      <c r="N607" s="14"/>
    </row>
    <row r="608" spans="13:14" ht="12.5">
      <c r="M608" s="14"/>
      <c r="N608" s="14"/>
    </row>
    <row r="609" spans="13:14" ht="12.5">
      <c r="M609" s="14"/>
      <c r="N609" s="14"/>
    </row>
    <row r="610" spans="13:14" ht="12.5">
      <c r="M610" s="14"/>
      <c r="N610" s="14"/>
    </row>
    <row r="611" spans="13:14" ht="12.5">
      <c r="M611" s="14"/>
      <c r="N611" s="14"/>
    </row>
    <row r="612" spans="13:14" ht="12.5">
      <c r="M612" s="14"/>
      <c r="N612" s="14"/>
    </row>
    <row r="613" spans="13:14" ht="12.5">
      <c r="M613" s="14"/>
      <c r="N613" s="14"/>
    </row>
    <row r="614" spans="13:14" ht="12.5">
      <c r="M614" s="14"/>
      <c r="N614" s="14"/>
    </row>
    <row r="615" spans="13:14" ht="12.5">
      <c r="M615" s="14"/>
      <c r="N615" s="14"/>
    </row>
    <row r="616" spans="13:14" ht="12.5">
      <c r="M616" s="14"/>
      <c r="N616" s="14"/>
    </row>
    <row r="617" spans="13:14" ht="12.5">
      <c r="M617" s="14"/>
      <c r="N617" s="14"/>
    </row>
    <row r="618" spans="13:14" ht="12.5">
      <c r="M618" s="14"/>
      <c r="N618" s="14"/>
    </row>
    <row r="619" spans="13:14" ht="12.5">
      <c r="M619" s="14"/>
      <c r="N619" s="14"/>
    </row>
    <row r="620" spans="13:14" ht="12.5">
      <c r="M620" s="14"/>
      <c r="N620" s="14"/>
    </row>
    <row r="621" spans="13:14" ht="12.5">
      <c r="M621" s="14"/>
      <c r="N621" s="14"/>
    </row>
    <row r="622" spans="13:14" ht="12.5">
      <c r="M622" s="14"/>
      <c r="N622" s="14"/>
    </row>
    <row r="623" spans="13:14" ht="12.5">
      <c r="M623" s="14"/>
      <c r="N623" s="14"/>
    </row>
    <row r="624" spans="13:14" ht="12.5">
      <c r="M624" s="14"/>
      <c r="N624" s="14"/>
    </row>
    <row r="625" spans="13:14" ht="12.5">
      <c r="M625" s="14"/>
      <c r="N625" s="14"/>
    </row>
    <row r="626" spans="13:14" ht="12.5">
      <c r="M626" s="14"/>
      <c r="N626" s="14"/>
    </row>
    <row r="627" spans="13:14" ht="12.5">
      <c r="M627" s="14"/>
      <c r="N627" s="14"/>
    </row>
    <row r="628" spans="13:14" ht="12.5">
      <c r="M628" s="14"/>
      <c r="N628" s="14"/>
    </row>
    <row r="629" spans="13:14" ht="12.5">
      <c r="M629" s="14"/>
      <c r="N629" s="14"/>
    </row>
    <row r="630" spans="13:14" ht="12.5">
      <c r="M630" s="14"/>
      <c r="N630" s="14"/>
    </row>
    <row r="631" spans="13:14" ht="12.5">
      <c r="M631" s="14"/>
      <c r="N631" s="14"/>
    </row>
    <row r="632" spans="13:14" ht="12.5">
      <c r="M632" s="14"/>
      <c r="N632" s="14"/>
    </row>
    <row r="633" spans="13:14" ht="12.5">
      <c r="M633" s="14"/>
      <c r="N633" s="14"/>
    </row>
    <row r="634" spans="13:14" ht="12.5">
      <c r="M634" s="14"/>
      <c r="N634" s="14"/>
    </row>
    <row r="635" spans="13:14" ht="12.5">
      <c r="M635" s="14"/>
      <c r="N635" s="14"/>
    </row>
    <row r="636" spans="13:14" ht="12.5">
      <c r="M636" s="14"/>
      <c r="N636" s="14"/>
    </row>
    <row r="637" spans="13:14" ht="12.5">
      <c r="M637" s="14"/>
      <c r="N637" s="14"/>
    </row>
    <row r="638" spans="13:14" ht="12.5">
      <c r="M638" s="14"/>
      <c r="N638" s="14"/>
    </row>
    <row r="639" spans="13:14" ht="12.5">
      <c r="M639" s="14"/>
      <c r="N639" s="14"/>
    </row>
    <row r="640" spans="13:14" ht="12.5">
      <c r="M640" s="14"/>
      <c r="N640" s="14"/>
    </row>
    <row r="641" spans="13:14" ht="12.5">
      <c r="M641" s="14"/>
      <c r="N641" s="14"/>
    </row>
    <row r="642" spans="13:14" ht="12.5">
      <c r="M642" s="14"/>
      <c r="N642" s="14"/>
    </row>
    <row r="643" spans="13:14" ht="12.5">
      <c r="M643" s="14"/>
      <c r="N643" s="14"/>
    </row>
    <row r="644" spans="13:14" ht="12.5">
      <c r="M644" s="14"/>
      <c r="N644" s="14"/>
    </row>
    <row r="645" spans="13:14" ht="12.5">
      <c r="M645" s="14"/>
      <c r="N645" s="14"/>
    </row>
    <row r="646" spans="13:14" ht="12.5">
      <c r="M646" s="14"/>
      <c r="N646" s="14"/>
    </row>
    <row r="647" spans="13:14" ht="12.5">
      <c r="M647" s="14"/>
      <c r="N647" s="14"/>
    </row>
    <row r="648" spans="13:14" ht="12.5">
      <c r="M648" s="14"/>
      <c r="N648" s="14"/>
    </row>
    <row r="649" spans="13:14" ht="12.5">
      <c r="M649" s="14"/>
      <c r="N649" s="14"/>
    </row>
    <row r="650" spans="13:14" ht="12.5">
      <c r="M650" s="14"/>
      <c r="N650" s="14"/>
    </row>
    <row r="651" spans="13:14" ht="12.5">
      <c r="M651" s="14"/>
      <c r="N651" s="14"/>
    </row>
    <row r="652" spans="13:14" ht="12.5">
      <c r="M652" s="14"/>
      <c r="N652" s="14"/>
    </row>
    <row r="653" spans="13:14" ht="12.5">
      <c r="M653" s="14"/>
      <c r="N653" s="14"/>
    </row>
    <row r="654" spans="13:14" ht="12.5">
      <c r="M654" s="14"/>
      <c r="N654" s="14"/>
    </row>
    <row r="655" spans="13:14" ht="12.5">
      <c r="M655" s="14"/>
      <c r="N655" s="14"/>
    </row>
    <row r="656" spans="13:14" ht="12.5">
      <c r="M656" s="14"/>
      <c r="N656" s="14"/>
    </row>
    <row r="657" spans="13:14" ht="12.5">
      <c r="M657" s="14"/>
      <c r="N657" s="14"/>
    </row>
    <row r="658" spans="13:14" ht="12.5">
      <c r="M658" s="14"/>
      <c r="N658" s="14"/>
    </row>
    <row r="659" spans="13:14" ht="12.5">
      <c r="M659" s="14"/>
      <c r="N659" s="14"/>
    </row>
    <row r="660" spans="13:14" ht="12.5">
      <c r="M660" s="14"/>
      <c r="N660" s="14"/>
    </row>
    <row r="661" spans="13:14" ht="12.5">
      <c r="M661" s="14"/>
      <c r="N661" s="14"/>
    </row>
    <row r="662" spans="13:14" ht="12.5">
      <c r="M662" s="14"/>
      <c r="N662" s="14"/>
    </row>
    <row r="663" spans="13:14" ht="12.5">
      <c r="M663" s="14"/>
      <c r="N663" s="14"/>
    </row>
    <row r="664" spans="13:14" ht="12.5">
      <c r="M664" s="14"/>
      <c r="N664" s="14"/>
    </row>
    <row r="665" spans="13:14" ht="12.5">
      <c r="M665" s="14"/>
      <c r="N665" s="14"/>
    </row>
    <row r="666" spans="13:14" ht="12.5">
      <c r="M666" s="14"/>
      <c r="N666" s="14"/>
    </row>
    <row r="667" spans="13:14" ht="12.5">
      <c r="M667" s="14"/>
      <c r="N667" s="14"/>
    </row>
    <row r="668" spans="13:14" ht="12.5">
      <c r="M668" s="14"/>
      <c r="N668" s="14"/>
    </row>
    <row r="669" spans="13:14" ht="12.5">
      <c r="M669" s="14"/>
      <c r="N669" s="14"/>
    </row>
    <row r="670" spans="13:14" ht="12.5">
      <c r="M670" s="14"/>
      <c r="N670" s="14"/>
    </row>
    <row r="671" spans="13:14" ht="12.5">
      <c r="M671" s="14"/>
      <c r="N671" s="14"/>
    </row>
    <row r="672" spans="13:14" ht="12.5">
      <c r="M672" s="14"/>
      <c r="N672" s="14"/>
    </row>
    <row r="673" spans="13:14" ht="12.5">
      <c r="M673" s="14"/>
      <c r="N673" s="14"/>
    </row>
    <row r="674" spans="13:14" ht="12.5">
      <c r="M674" s="14"/>
      <c r="N674" s="14"/>
    </row>
    <row r="675" spans="13:14" ht="12.5">
      <c r="M675" s="14"/>
      <c r="N675" s="14"/>
    </row>
    <row r="676" spans="13:14" ht="12.5">
      <c r="M676" s="14"/>
      <c r="N676" s="14"/>
    </row>
    <row r="677" spans="13:14" ht="12.5">
      <c r="M677" s="14"/>
      <c r="N677" s="14"/>
    </row>
    <row r="678" spans="13:14" ht="12.5">
      <c r="M678" s="14"/>
      <c r="N678" s="14"/>
    </row>
    <row r="679" spans="13:14" ht="12.5">
      <c r="M679" s="14"/>
      <c r="N679" s="14"/>
    </row>
    <row r="680" spans="13:14" ht="12.5">
      <c r="M680" s="14"/>
      <c r="N680" s="14"/>
    </row>
    <row r="681" spans="13:14" ht="12.5">
      <c r="M681" s="14"/>
      <c r="N681" s="14"/>
    </row>
    <row r="682" spans="13:14" ht="12.5">
      <c r="M682" s="14"/>
      <c r="N682" s="14"/>
    </row>
    <row r="683" spans="13:14" ht="12.5">
      <c r="M683" s="14"/>
      <c r="N683" s="14"/>
    </row>
    <row r="684" spans="13:14" ht="12.5">
      <c r="M684" s="14"/>
      <c r="N684" s="14"/>
    </row>
    <row r="685" spans="13:14" ht="12.5">
      <c r="M685" s="14"/>
      <c r="N685" s="14"/>
    </row>
    <row r="686" spans="13:14" ht="12.5">
      <c r="M686" s="14"/>
      <c r="N686" s="14"/>
    </row>
    <row r="687" spans="13:14" ht="12.5">
      <c r="M687" s="14"/>
      <c r="N687" s="14"/>
    </row>
    <row r="688" spans="13:14" ht="12.5">
      <c r="M688" s="14"/>
      <c r="N688" s="14"/>
    </row>
    <row r="689" spans="13:14" ht="12.5">
      <c r="M689" s="14"/>
      <c r="N689" s="14"/>
    </row>
    <row r="690" spans="13:14" ht="12.5">
      <c r="M690" s="14"/>
      <c r="N690" s="14"/>
    </row>
    <row r="691" spans="13:14" ht="12.5">
      <c r="M691" s="14"/>
      <c r="N691" s="14"/>
    </row>
    <row r="692" spans="13:14" ht="12.5">
      <c r="M692" s="14"/>
      <c r="N692" s="14"/>
    </row>
    <row r="693" spans="13:14" ht="12.5">
      <c r="M693" s="14"/>
      <c r="N693" s="14"/>
    </row>
    <row r="694" spans="13:14" ht="12.5">
      <c r="M694" s="14"/>
      <c r="N694" s="14"/>
    </row>
    <row r="695" spans="13:14" ht="12.5">
      <c r="M695" s="14"/>
      <c r="N695" s="14"/>
    </row>
    <row r="696" spans="13:14" ht="12.5">
      <c r="M696" s="14"/>
      <c r="N696" s="14"/>
    </row>
    <row r="697" spans="13:14" ht="12.5">
      <c r="M697" s="14"/>
      <c r="N697" s="14"/>
    </row>
    <row r="698" spans="13:14" ht="12.5">
      <c r="M698" s="14"/>
      <c r="N698" s="14"/>
    </row>
    <row r="699" spans="13:14" ht="12.5">
      <c r="M699" s="14"/>
      <c r="N699" s="14"/>
    </row>
    <row r="700" spans="13:14" ht="12.5">
      <c r="M700" s="14"/>
      <c r="N700" s="14"/>
    </row>
    <row r="701" spans="13:14" ht="12.5">
      <c r="M701" s="14"/>
      <c r="N701" s="14"/>
    </row>
    <row r="702" spans="13:14" ht="12.5">
      <c r="M702" s="14"/>
      <c r="N702" s="14"/>
    </row>
    <row r="703" spans="13:14" ht="12.5">
      <c r="M703" s="14"/>
      <c r="N703" s="14"/>
    </row>
    <row r="704" spans="13:14" ht="12.5">
      <c r="M704" s="14"/>
      <c r="N704" s="14"/>
    </row>
    <row r="705" spans="13:14" ht="12.5">
      <c r="M705" s="14"/>
      <c r="N705" s="14"/>
    </row>
    <row r="706" spans="13:14" ht="12.5">
      <c r="M706" s="14"/>
      <c r="N706" s="14"/>
    </row>
    <row r="707" spans="13:14" ht="12.5">
      <c r="M707" s="14"/>
      <c r="N707" s="14"/>
    </row>
    <row r="708" spans="13:14" ht="12.5">
      <c r="M708" s="14"/>
      <c r="N708" s="14"/>
    </row>
    <row r="709" spans="13:14" ht="12.5">
      <c r="M709" s="14"/>
      <c r="N709" s="14"/>
    </row>
    <row r="710" spans="13:14" ht="12.5">
      <c r="M710" s="14"/>
      <c r="N710" s="14"/>
    </row>
    <row r="711" spans="13:14" ht="12.5">
      <c r="M711" s="14"/>
      <c r="N711" s="14"/>
    </row>
    <row r="712" spans="13:14" ht="12.5">
      <c r="M712" s="14"/>
      <c r="N712" s="14"/>
    </row>
    <row r="713" spans="13:14" ht="12.5">
      <c r="M713" s="14"/>
      <c r="N713" s="14"/>
    </row>
    <row r="714" spans="13:14" ht="12.5">
      <c r="M714" s="14"/>
      <c r="N714" s="14"/>
    </row>
    <row r="715" spans="13:14" ht="12.5">
      <c r="M715" s="14"/>
      <c r="N715" s="14"/>
    </row>
    <row r="716" spans="13:14" ht="12.5">
      <c r="M716" s="14"/>
      <c r="N716" s="14"/>
    </row>
    <row r="717" spans="13:14" ht="12.5">
      <c r="M717" s="14"/>
      <c r="N717" s="14"/>
    </row>
    <row r="718" spans="13:14" ht="12.5">
      <c r="M718" s="14"/>
      <c r="N718" s="14"/>
    </row>
    <row r="719" spans="13:14" ht="12.5">
      <c r="M719" s="14"/>
      <c r="N719" s="14"/>
    </row>
    <row r="720" spans="13:14" ht="12.5">
      <c r="M720" s="14"/>
      <c r="N720" s="14"/>
    </row>
    <row r="721" spans="13:14" ht="12.5">
      <c r="M721" s="14"/>
      <c r="N721" s="14"/>
    </row>
    <row r="722" spans="13:14" ht="12.5">
      <c r="M722" s="14"/>
      <c r="N722" s="14"/>
    </row>
    <row r="723" spans="13:14" ht="12.5">
      <c r="M723" s="14"/>
      <c r="N723" s="14"/>
    </row>
    <row r="724" spans="13:14" ht="12.5">
      <c r="M724" s="14"/>
      <c r="N724" s="14"/>
    </row>
    <row r="725" spans="13:14" ht="12.5">
      <c r="M725" s="14"/>
      <c r="N725" s="14"/>
    </row>
    <row r="726" spans="13:14" ht="12.5">
      <c r="M726" s="14"/>
      <c r="N726" s="14"/>
    </row>
    <row r="727" spans="13:14" ht="12.5">
      <c r="M727" s="14"/>
      <c r="N727" s="14"/>
    </row>
    <row r="728" spans="13:14" ht="12.5">
      <c r="M728" s="14"/>
      <c r="N728" s="14"/>
    </row>
    <row r="729" spans="13:14" ht="12.5">
      <c r="M729" s="14"/>
      <c r="N729" s="14"/>
    </row>
    <row r="730" spans="13:14" ht="12.5">
      <c r="M730" s="14"/>
      <c r="N730" s="14"/>
    </row>
    <row r="731" spans="13:14" ht="12.5">
      <c r="M731" s="14"/>
      <c r="N731" s="14"/>
    </row>
    <row r="732" spans="13:14" ht="12.5">
      <c r="M732" s="14"/>
      <c r="N732" s="14"/>
    </row>
    <row r="733" spans="13:14" ht="12.5">
      <c r="M733" s="14"/>
      <c r="N733" s="14"/>
    </row>
    <row r="734" spans="13:14" ht="12.5">
      <c r="M734" s="14"/>
      <c r="N734" s="14"/>
    </row>
    <row r="735" spans="13:14" ht="12.5">
      <c r="M735" s="14"/>
      <c r="N735" s="14"/>
    </row>
    <row r="736" spans="13:14" ht="12.5">
      <c r="M736" s="14"/>
      <c r="N736" s="14"/>
    </row>
    <row r="737" spans="13:14" ht="12.5">
      <c r="M737" s="14"/>
      <c r="N737" s="14"/>
    </row>
    <row r="738" spans="13:14" ht="12.5">
      <c r="M738" s="14"/>
      <c r="N738" s="14"/>
    </row>
    <row r="739" spans="13:14" ht="12.5">
      <c r="M739" s="14"/>
      <c r="N739" s="14"/>
    </row>
    <row r="740" spans="13:14" ht="12.5">
      <c r="M740" s="14"/>
      <c r="N740" s="14"/>
    </row>
    <row r="741" spans="13:14" ht="12.5">
      <c r="M741" s="14"/>
      <c r="N741" s="14"/>
    </row>
    <row r="742" spans="13:14" ht="12.5">
      <c r="M742" s="14"/>
      <c r="N742" s="14"/>
    </row>
    <row r="743" spans="13:14" ht="12.5">
      <c r="M743" s="14"/>
      <c r="N743" s="14"/>
    </row>
    <row r="744" spans="13:14" ht="12.5">
      <c r="M744" s="14"/>
      <c r="N744" s="14"/>
    </row>
    <row r="745" spans="13:14" ht="12.5">
      <c r="M745" s="14"/>
      <c r="N745" s="14"/>
    </row>
    <row r="746" spans="13:14" ht="12.5">
      <c r="M746" s="14"/>
      <c r="N746" s="14"/>
    </row>
    <row r="747" spans="13:14" ht="12.5">
      <c r="M747" s="14"/>
      <c r="N747" s="14"/>
    </row>
    <row r="748" spans="13:14" ht="12.5">
      <c r="M748" s="14"/>
      <c r="N748" s="14"/>
    </row>
    <row r="749" spans="13:14" ht="12.5">
      <c r="M749" s="14"/>
      <c r="N749" s="14"/>
    </row>
    <row r="750" spans="13:14" ht="12.5">
      <c r="M750" s="14"/>
      <c r="N750" s="14"/>
    </row>
    <row r="751" spans="13:14" ht="12.5">
      <c r="M751" s="14"/>
      <c r="N751" s="14"/>
    </row>
    <row r="752" spans="13:14" ht="12.5">
      <c r="M752" s="14"/>
      <c r="N752" s="14"/>
    </row>
    <row r="753" spans="13:14" ht="12.5">
      <c r="M753" s="14"/>
      <c r="N753" s="14"/>
    </row>
    <row r="754" spans="13:14" ht="12.5">
      <c r="M754" s="14"/>
      <c r="N754" s="14"/>
    </row>
    <row r="755" spans="13:14" ht="12.5">
      <c r="M755" s="14"/>
      <c r="N755" s="14"/>
    </row>
    <row r="756" spans="13:14" ht="12.5">
      <c r="M756" s="14"/>
      <c r="N756" s="14"/>
    </row>
    <row r="757" spans="13:14" ht="12.5">
      <c r="M757" s="14"/>
      <c r="N757" s="14"/>
    </row>
    <row r="758" spans="13:14" ht="12.5">
      <c r="M758" s="14"/>
      <c r="N758" s="14"/>
    </row>
    <row r="759" spans="13:14" ht="12.5">
      <c r="M759" s="14"/>
      <c r="N759" s="14"/>
    </row>
    <row r="760" spans="13:14" ht="12.5">
      <c r="M760" s="14"/>
      <c r="N760" s="14"/>
    </row>
    <row r="761" spans="13:14" ht="12.5">
      <c r="M761" s="14"/>
      <c r="N761" s="14"/>
    </row>
    <row r="762" spans="13:14" ht="12.5">
      <c r="M762" s="14"/>
      <c r="N762" s="14"/>
    </row>
    <row r="763" spans="13:14" ht="12.5">
      <c r="M763" s="14"/>
      <c r="N763" s="14"/>
    </row>
    <row r="764" spans="13:14" ht="12.5">
      <c r="M764" s="14"/>
      <c r="N764" s="14"/>
    </row>
    <row r="765" spans="13:14" ht="12.5">
      <c r="M765" s="14"/>
      <c r="N765" s="14"/>
    </row>
    <row r="766" spans="13:14" ht="12.5">
      <c r="M766" s="14"/>
      <c r="N766" s="14"/>
    </row>
    <row r="767" spans="13:14" ht="12.5">
      <c r="M767" s="14"/>
      <c r="N767" s="14"/>
    </row>
    <row r="768" spans="13:14" ht="12.5">
      <c r="M768" s="14"/>
      <c r="N768" s="14"/>
    </row>
    <row r="769" spans="13:14" ht="12.5">
      <c r="M769" s="14"/>
      <c r="N769" s="14"/>
    </row>
    <row r="770" spans="13:14" ht="12.5">
      <c r="M770" s="14"/>
      <c r="N770" s="14"/>
    </row>
    <row r="771" spans="13:14" ht="12.5">
      <c r="M771" s="14"/>
      <c r="N771" s="14"/>
    </row>
    <row r="772" spans="13:14" ht="12.5">
      <c r="M772" s="14"/>
      <c r="N772" s="14"/>
    </row>
    <row r="773" spans="13:14" ht="12.5">
      <c r="M773" s="14"/>
      <c r="N773" s="14"/>
    </row>
    <row r="774" spans="13:14" ht="12.5">
      <c r="M774" s="14"/>
      <c r="N774" s="14"/>
    </row>
    <row r="775" spans="13:14" ht="12.5">
      <c r="M775" s="14"/>
      <c r="N775" s="14"/>
    </row>
    <row r="776" spans="13:14" ht="12.5">
      <c r="M776" s="14"/>
      <c r="N776" s="14"/>
    </row>
    <row r="777" spans="13:14" ht="12.5">
      <c r="M777" s="14"/>
      <c r="N777" s="14"/>
    </row>
    <row r="778" spans="13:14" ht="12.5">
      <c r="M778" s="14"/>
      <c r="N778" s="14"/>
    </row>
    <row r="779" spans="13:14" ht="12.5">
      <c r="M779" s="14"/>
      <c r="N779" s="14"/>
    </row>
    <row r="780" spans="13:14" ht="12.5">
      <c r="M780" s="14"/>
      <c r="N780" s="14"/>
    </row>
    <row r="781" spans="13:14" ht="12.5">
      <c r="M781" s="14"/>
      <c r="N781" s="14"/>
    </row>
    <row r="782" spans="13:14" ht="12.5">
      <c r="M782" s="14"/>
      <c r="N782" s="14"/>
    </row>
    <row r="783" spans="13:14" ht="12.5">
      <c r="M783" s="14"/>
      <c r="N783" s="14"/>
    </row>
    <row r="784" spans="13:14" ht="12.5">
      <c r="M784" s="14"/>
      <c r="N784" s="14"/>
    </row>
    <row r="785" spans="13:14" ht="12.5">
      <c r="M785" s="14"/>
      <c r="N785" s="14"/>
    </row>
    <row r="786" spans="13:14" ht="12.5">
      <c r="M786" s="14"/>
      <c r="N786" s="14"/>
    </row>
    <row r="787" spans="13:14" ht="12.5">
      <c r="M787" s="14"/>
      <c r="N787" s="14"/>
    </row>
    <row r="788" spans="13:14" ht="12.5">
      <c r="M788" s="14"/>
      <c r="N788" s="14"/>
    </row>
    <row r="789" spans="13:14" ht="12.5">
      <c r="M789" s="14"/>
      <c r="N789" s="14"/>
    </row>
    <row r="790" spans="13:14" ht="12.5">
      <c r="M790" s="14"/>
      <c r="N790" s="14"/>
    </row>
    <row r="791" spans="13:14" ht="12.5">
      <c r="M791" s="14"/>
      <c r="N791" s="14"/>
    </row>
    <row r="792" spans="13:14" ht="12.5">
      <c r="M792" s="14"/>
      <c r="N792" s="14"/>
    </row>
    <row r="793" spans="13:14" ht="12.5">
      <c r="M793" s="14"/>
      <c r="N793" s="14"/>
    </row>
    <row r="794" spans="13:14" ht="12.5">
      <c r="M794" s="14"/>
      <c r="N794" s="14"/>
    </row>
    <row r="795" spans="13:14" ht="12.5">
      <c r="M795" s="14"/>
      <c r="N795" s="14"/>
    </row>
    <row r="796" spans="13:14" ht="12.5">
      <c r="M796" s="14"/>
      <c r="N796" s="14"/>
    </row>
    <row r="797" spans="13:14" ht="12.5">
      <c r="M797" s="14"/>
      <c r="N797" s="14"/>
    </row>
    <row r="798" spans="13:14" ht="12.5">
      <c r="M798" s="14"/>
      <c r="N798" s="14"/>
    </row>
    <row r="799" spans="13:14" ht="12.5">
      <c r="M799" s="14"/>
      <c r="N799" s="14"/>
    </row>
    <row r="800" spans="13:14" ht="12.5">
      <c r="M800" s="14"/>
      <c r="N800" s="14"/>
    </row>
    <row r="801" spans="13:14" ht="12.5">
      <c r="M801" s="14"/>
      <c r="N801" s="14"/>
    </row>
    <row r="802" spans="13:14" ht="12.5">
      <c r="M802" s="14"/>
      <c r="N802" s="14"/>
    </row>
    <row r="803" spans="13:14" ht="12.5">
      <c r="M803" s="14"/>
      <c r="N803" s="14"/>
    </row>
    <row r="804" spans="13:14" ht="12.5">
      <c r="M804" s="14"/>
      <c r="N804" s="14"/>
    </row>
    <row r="805" spans="13:14" ht="12.5">
      <c r="M805" s="14"/>
      <c r="N805" s="14"/>
    </row>
    <row r="806" spans="13:14" ht="12.5">
      <c r="M806" s="14"/>
      <c r="N806" s="14"/>
    </row>
    <row r="807" spans="13:14" ht="12.5">
      <c r="M807" s="14"/>
      <c r="N807" s="14"/>
    </row>
    <row r="808" spans="13:14" ht="12.5">
      <c r="M808" s="14"/>
      <c r="N808" s="14"/>
    </row>
    <row r="809" spans="13:14" ht="12.5">
      <c r="M809" s="14"/>
      <c r="N809" s="14"/>
    </row>
    <row r="810" spans="13:14" ht="12.5">
      <c r="M810" s="14"/>
      <c r="N810" s="14"/>
    </row>
    <row r="811" spans="13:14" ht="12.5">
      <c r="M811" s="14"/>
      <c r="N811" s="14"/>
    </row>
    <row r="812" spans="13:14" ht="12.5">
      <c r="M812" s="14"/>
      <c r="N812" s="14"/>
    </row>
    <row r="813" spans="13:14" ht="12.5">
      <c r="M813" s="14"/>
      <c r="N813" s="14"/>
    </row>
    <row r="814" spans="13:14" ht="12.5">
      <c r="M814" s="14"/>
      <c r="N814" s="14"/>
    </row>
    <row r="815" spans="13:14" ht="12.5">
      <c r="M815" s="14"/>
      <c r="N815" s="14"/>
    </row>
    <row r="816" spans="13:14" ht="12.5">
      <c r="M816" s="14"/>
      <c r="N816" s="14"/>
    </row>
    <row r="817" spans="13:14" ht="12.5">
      <c r="M817" s="14"/>
      <c r="N817" s="14"/>
    </row>
    <row r="818" spans="13:14" ht="12.5">
      <c r="M818" s="14"/>
      <c r="N818" s="14"/>
    </row>
    <row r="819" spans="13:14" ht="12.5">
      <c r="M819" s="14"/>
      <c r="N819" s="14"/>
    </row>
    <row r="820" spans="13:14" ht="12.5">
      <c r="M820" s="14"/>
      <c r="N820" s="14"/>
    </row>
    <row r="821" spans="13:14" ht="12.5">
      <c r="M821" s="14"/>
      <c r="N821" s="14"/>
    </row>
    <row r="822" spans="13:14" ht="12.5">
      <c r="M822" s="14"/>
      <c r="N822" s="14"/>
    </row>
    <row r="823" spans="13:14" ht="12.5">
      <c r="M823" s="14"/>
      <c r="N823" s="14"/>
    </row>
    <row r="824" spans="13:14" ht="12.5">
      <c r="M824" s="14"/>
      <c r="N824" s="14"/>
    </row>
    <row r="825" spans="13:14" ht="12.5">
      <c r="M825" s="14"/>
      <c r="N825" s="14"/>
    </row>
    <row r="826" spans="13:14" ht="12.5">
      <c r="M826" s="14"/>
      <c r="N826" s="14"/>
    </row>
    <row r="827" spans="13:14" ht="12.5">
      <c r="M827" s="14"/>
      <c r="N827" s="14"/>
    </row>
    <row r="828" spans="13:14" ht="12.5">
      <c r="M828" s="14"/>
      <c r="N828" s="14"/>
    </row>
    <row r="829" spans="13:14" ht="12.5">
      <c r="M829" s="14"/>
      <c r="N829" s="14"/>
    </row>
    <row r="830" spans="13:14" ht="12.5">
      <c r="M830" s="14"/>
      <c r="N830" s="14"/>
    </row>
    <row r="831" spans="13:14" ht="12.5">
      <c r="M831" s="14"/>
      <c r="N831" s="14"/>
    </row>
    <row r="832" spans="13:14" ht="12.5">
      <c r="M832" s="14"/>
      <c r="N832" s="14"/>
    </row>
    <row r="833" spans="13:14" ht="12.5">
      <c r="M833" s="14"/>
      <c r="N833" s="14"/>
    </row>
    <row r="834" spans="13:14" ht="12.5">
      <c r="M834" s="14"/>
      <c r="N834" s="14"/>
    </row>
    <row r="835" spans="13:14" ht="12.5">
      <c r="M835" s="14"/>
      <c r="N835" s="14"/>
    </row>
    <row r="836" spans="13:14" ht="12.5">
      <c r="M836" s="14"/>
      <c r="N836" s="14"/>
    </row>
    <row r="837" spans="13:14" ht="12.5">
      <c r="M837" s="14"/>
      <c r="N837" s="14"/>
    </row>
    <row r="838" spans="13:14" ht="12.5">
      <c r="M838" s="14"/>
      <c r="N838" s="14"/>
    </row>
    <row r="839" spans="13:14" ht="12.5">
      <c r="M839" s="14"/>
      <c r="N839" s="14"/>
    </row>
    <row r="840" spans="13:14" ht="12.5">
      <c r="M840" s="14"/>
      <c r="N840" s="14"/>
    </row>
    <row r="841" spans="13:14" ht="12.5">
      <c r="M841" s="14"/>
      <c r="N841" s="14"/>
    </row>
    <row r="842" spans="13:14" ht="12.5">
      <c r="M842" s="14"/>
      <c r="N842" s="14"/>
    </row>
    <row r="843" spans="13:14" ht="12.5">
      <c r="M843" s="14"/>
      <c r="N843" s="14"/>
    </row>
    <row r="844" spans="13:14" ht="12.5">
      <c r="M844" s="14"/>
      <c r="N844" s="14"/>
    </row>
    <row r="845" spans="13:14" ht="12.5">
      <c r="M845" s="14"/>
      <c r="N845" s="14"/>
    </row>
    <row r="846" spans="13:14" ht="12.5">
      <c r="M846" s="14"/>
      <c r="N846" s="14"/>
    </row>
    <row r="847" spans="13:14" ht="12.5">
      <c r="M847" s="14"/>
      <c r="N847" s="14"/>
    </row>
    <row r="848" spans="13:14" ht="12.5">
      <c r="M848" s="14"/>
      <c r="N848" s="14"/>
    </row>
    <row r="849" spans="13:14" ht="12.5">
      <c r="M849" s="14"/>
      <c r="N849" s="14"/>
    </row>
    <row r="850" spans="13:14" ht="12.5">
      <c r="M850" s="14"/>
      <c r="N850" s="14"/>
    </row>
    <row r="851" spans="13:14" ht="12.5">
      <c r="M851" s="14"/>
      <c r="N851" s="14"/>
    </row>
    <row r="852" spans="13:14" ht="12.5">
      <c r="M852" s="14"/>
      <c r="N852" s="14"/>
    </row>
    <row r="853" spans="13:14" ht="12.5">
      <c r="M853" s="14"/>
      <c r="N853" s="14"/>
    </row>
    <row r="854" spans="13:14" ht="12.5">
      <c r="M854" s="14"/>
      <c r="N854" s="14"/>
    </row>
    <row r="855" spans="13:14" ht="12.5">
      <c r="M855" s="14"/>
      <c r="N855" s="14"/>
    </row>
    <row r="856" spans="13:14" ht="12.5">
      <c r="M856" s="14"/>
      <c r="N856" s="14"/>
    </row>
    <row r="857" spans="13:14" ht="12.5">
      <c r="M857" s="14"/>
      <c r="N857" s="14"/>
    </row>
    <row r="858" spans="13:14" ht="12.5">
      <c r="M858" s="14"/>
      <c r="N858" s="14"/>
    </row>
    <row r="859" spans="13:14" ht="12.5">
      <c r="M859" s="14"/>
      <c r="N859" s="14"/>
    </row>
    <row r="860" spans="13:14" ht="12.5">
      <c r="M860" s="14"/>
      <c r="N860" s="14"/>
    </row>
    <row r="861" spans="13:14" ht="12.5">
      <c r="M861" s="14"/>
      <c r="N861" s="14"/>
    </row>
    <row r="862" spans="13:14" ht="12.5">
      <c r="M862" s="14"/>
      <c r="N862" s="14"/>
    </row>
    <row r="863" spans="13:14" ht="12.5">
      <c r="M863" s="14"/>
      <c r="N863" s="14"/>
    </row>
    <row r="864" spans="13:14" ht="12.5">
      <c r="M864" s="14"/>
      <c r="N864" s="14"/>
    </row>
    <row r="865" spans="13:14" ht="12.5">
      <c r="M865" s="14"/>
      <c r="N865" s="14"/>
    </row>
    <row r="866" spans="13:14" ht="12.5">
      <c r="M866" s="14"/>
      <c r="N866" s="14"/>
    </row>
    <row r="867" spans="13:14" ht="12.5">
      <c r="M867" s="14"/>
      <c r="N867" s="14"/>
    </row>
    <row r="868" spans="13:14" ht="12.5">
      <c r="M868" s="14"/>
      <c r="N868" s="14"/>
    </row>
    <row r="869" spans="13:14" ht="12.5">
      <c r="M869" s="14"/>
      <c r="N869" s="14"/>
    </row>
    <row r="870" spans="13:14" ht="12.5">
      <c r="M870" s="14"/>
      <c r="N870" s="14"/>
    </row>
    <row r="871" spans="13:14" ht="12.5">
      <c r="M871" s="14"/>
      <c r="N871" s="14"/>
    </row>
    <row r="872" spans="13:14" ht="12.5">
      <c r="M872" s="14"/>
      <c r="N872" s="14"/>
    </row>
    <row r="873" spans="13:14" ht="12.5">
      <c r="M873" s="14"/>
      <c r="N873" s="14"/>
    </row>
    <row r="874" spans="13:14" ht="12.5">
      <c r="M874" s="14"/>
      <c r="N874" s="14"/>
    </row>
    <row r="875" spans="13:14" ht="12.5">
      <c r="M875" s="14"/>
      <c r="N875" s="14"/>
    </row>
    <row r="876" spans="13:14" ht="12.5">
      <c r="M876" s="14"/>
      <c r="N876" s="14"/>
    </row>
    <row r="877" spans="13:14" ht="12.5">
      <c r="M877" s="14"/>
      <c r="N877" s="14"/>
    </row>
    <row r="878" spans="13:14" ht="12.5">
      <c r="M878" s="14"/>
      <c r="N878" s="14"/>
    </row>
    <row r="879" spans="13:14" ht="12.5">
      <c r="M879" s="14"/>
      <c r="N879" s="14"/>
    </row>
    <row r="880" spans="13:14" ht="12.5">
      <c r="M880" s="14"/>
      <c r="N880" s="14"/>
    </row>
    <row r="881" spans="13:14" ht="12.5">
      <c r="M881" s="14"/>
      <c r="N881" s="14"/>
    </row>
    <row r="882" spans="13:14" ht="12.5">
      <c r="M882" s="14"/>
      <c r="N882" s="14"/>
    </row>
    <row r="883" spans="13:14" ht="12.5">
      <c r="M883" s="14"/>
      <c r="N883" s="14"/>
    </row>
    <row r="884" spans="13:14" ht="12.5">
      <c r="M884" s="14"/>
      <c r="N884" s="14"/>
    </row>
    <row r="885" spans="13:14" ht="12.5">
      <c r="M885" s="14"/>
      <c r="N885" s="14"/>
    </row>
    <row r="886" spans="13:14" ht="12.5">
      <c r="M886" s="14"/>
      <c r="N886" s="14"/>
    </row>
    <row r="887" spans="13:14" ht="12.5">
      <c r="M887" s="14"/>
      <c r="N887" s="14"/>
    </row>
    <row r="888" spans="13:14" ht="12.5">
      <c r="M888" s="14"/>
      <c r="N888" s="14"/>
    </row>
    <row r="889" spans="13:14" ht="12.5">
      <c r="M889" s="14"/>
      <c r="N889" s="14"/>
    </row>
    <row r="890" spans="13:14" ht="12.5">
      <c r="M890" s="14"/>
      <c r="N890" s="14"/>
    </row>
    <row r="891" spans="13:14" ht="12.5">
      <c r="M891" s="14"/>
      <c r="N891" s="14"/>
    </row>
    <row r="892" spans="13:14" ht="12.5">
      <c r="M892" s="14"/>
      <c r="N892" s="14"/>
    </row>
    <row r="893" spans="13:14" ht="12.5">
      <c r="M893" s="14"/>
      <c r="N893" s="14"/>
    </row>
    <row r="894" spans="13:14" ht="12.5">
      <c r="M894" s="14"/>
      <c r="N894" s="14"/>
    </row>
    <row r="895" spans="13:14" ht="12.5">
      <c r="M895" s="14"/>
      <c r="N895" s="14"/>
    </row>
    <row r="896" spans="13:14" ht="12.5">
      <c r="M896" s="14"/>
      <c r="N896" s="14"/>
    </row>
    <row r="897" spans="13:14" ht="12.5">
      <c r="M897" s="14"/>
      <c r="N897" s="14"/>
    </row>
    <row r="898" spans="13:14" ht="12.5">
      <c r="M898" s="14"/>
      <c r="N898" s="14"/>
    </row>
    <row r="899" spans="13:14" ht="12.5">
      <c r="M899" s="14"/>
      <c r="N899" s="14"/>
    </row>
    <row r="900" spans="13:14" ht="12.5">
      <c r="M900" s="14"/>
      <c r="N900" s="14"/>
    </row>
    <row r="901" spans="13:14" ht="12.5">
      <c r="M901" s="14"/>
      <c r="N901" s="14"/>
    </row>
    <row r="902" spans="13:14" ht="12.5">
      <c r="M902" s="14"/>
      <c r="N902" s="14"/>
    </row>
    <row r="903" spans="13:14" ht="12.5">
      <c r="M903" s="14"/>
      <c r="N903" s="14"/>
    </row>
    <row r="904" spans="13:14" ht="12.5">
      <c r="M904" s="14"/>
      <c r="N904" s="14"/>
    </row>
    <row r="905" spans="13:14" ht="12.5">
      <c r="M905" s="14"/>
      <c r="N905" s="14"/>
    </row>
    <row r="906" spans="13:14" ht="12.5">
      <c r="M906" s="14"/>
      <c r="N906" s="14"/>
    </row>
    <row r="907" spans="13:14" ht="12.5">
      <c r="M907" s="14"/>
      <c r="N907" s="14"/>
    </row>
    <row r="908" spans="13:14" ht="12.5">
      <c r="M908" s="14"/>
      <c r="N908" s="14"/>
    </row>
    <row r="909" spans="13:14" ht="12.5">
      <c r="M909" s="14"/>
      <c r="N909" s="14"/>
    </row>
    <row r="910" spans="13:14" ht="12.5">
      <c r="M910" s="14"/>
      <c r="N910" s="14"/>
    </row>
    <row r="911" spans="13:14" ht="12.5">
      <c r="M911" s="14"/>
      <c r="N911" s="14"/>
    </row>
    <row r="912" spans="13:14" ht="12.5">
      <c r="M912" s="14"/>
      <c r="N912" s="14"/>
    </row>
    <row r="913" spans="13:14" ht="12.5">
      <c r="M913" s="14"/>
      <c r="N913" s="14"/>
    </row>
    <row r="914" spans="13:14" ht="12.5">
      <c r="M914" s="14"/>
      <c r="N914" s="14"/>
    </row>
    <row r="915" spans="13:14" ht="12.5">
      <c r="M915" s="14"/>
      <c r="N915" s="14"/>
    </row>
    <row r="916" spans="13:14" ht="12.5">
      <c r="M916" s="14"/>
      <c r="N916" s="14"/>
    </row>
    <row r="917" spans="13:14" ht="12.5">
      <c r="M917" s="14"/>
      <c r="N917" s="14"/>
    </row>
    <row r="918" spans="13:14" ht="12.5">
      <c r="M918" s="14"/>
      <c r="N918" s="14"/>
    </row>
    <row r="919" spans="13:14" ht="12.5">
      <c r="M919" s="14"/>
      <c r="N919" s="14"/>
    </row>
    <row r="920" spans="13:14" ht="12.5">
      <c r="M920" s="14"/>
      <c r="N920" s="14"/>
    </row>
    <row r="921" spans="13:14" ht="12.5">
      <c r="M921" s="14"/>
      <c r="N921" s="14"/>
    </row>
    <row r="922" spans="13:14" ht="12.5">
      <c r="M922" s="14"/>
      <c r="N922" s="14"/>
    </row>
    <row r="923" spans="13:14" ht="12.5">
      <c r="M923" s="14"/>
      <c r="N923" s="14"/>
    </row>
    <row r="924" spans="13:14" ht="12.5">
      <c r="M924" s="14"/>
      <c r="N924" s="14"/>
    </row>
    <row r="925" spans="13:14" ht="12.5">
      <c r="M925" s="14"/>
      <c r="N925" s="14"/>
    </row>
    <row r="926" spans="13:14" ht="12.5">
      <c r="M926" s="14"/>
      <c r="N926" s="14"/>
    </row>
    <row r="927" spans="13:14" ht="12.5">
      <c r="M927" s="14"/>
      <c r="N927" s="14"/>
    </row>
    <row r="928" spans="13:14" ht="12.5">
      <c r="M928" s="14"/>
      <c r="N928" s="14"/>
    </row>
    <row r="929" spans="13:14" ht="12.5">
      <c r="M929" s="14"/>
      <c r="N929" s="14"/>
    </row>
    <row r="930" spans="13:14" ht="12.5">
      <c r="M930" s="14"/>
      <c r="N930" s="14"/>
    </row>
    <row r="931" spans="13:14" ht="12.5">
      <c r="M931" s="14"/>
      <c r="N931" s="14"/>
    </row>
    <row r="932" spans="13:14" ht="12.5">
      <c r="M932" s="14"/>
      <c r="N932" s="14"/>
    </row>
    <row r="933" spans="13:14" ht="12.5">
      <c r="M933" s="14"/>
      <c r="N933" s="14"/>
    </row>
    <row r="934" spans="13:14" ht="12.5">
      <c r="M934" s="14"/>
      <c r="N934" s="14"/>
    </row>
    <row r="935" spans="13:14" ht="12.5">
      <c r="M935" s="14"/>
      <c r="N935" s="14"/>
    </row>
    <row r="936" spans="13:14" ht="12.5">
      <c r="M936" s="14"/>
      <c r="N936" s="14"/>
    </row>
    <row r="937" spans="13:14" ht="12.5">
      <c r="M937" s="14"/>
      <c r="N937" s="14"/>
    </row>
    <row r="938" spans="13:14" ht="12.5">
      <c r="M938" s="14"/>
      <c r="N938" s="14"/>
    </row>
    <row r="939" spans="13:14" ht="12.5">
      <c r="M939" s="14"/>
      <c r="N939" s="14"/>
    </row>
    <row r="940" spans="13:14" ht="12.5">
      <c r="M940" s="14"/>
      <c r="N940" s="14"/>
    </row>
    <row r="941" spans="13:14" ht="12.5">
      <c r="M941" s="14"/>
      <c r="N941" s="14"/>
    </row>
    <row r="942" spans="13:14" ht="12.5">
      <c r="M942" s="14"/>
      <c r="N942" s="14"/>
    </row>
    <row r="943" spans="13:14" ht="12.5">
      <c r="M943" s="14"/>
      <c r="N943" s="14"/>
    </row>
    <row r="944" spans="13:14" ht="12.5">
      <c r="M944" s="14"/>
      <c r="N944" s="14"/>
    </row>
    <row r="945" spans="13:14" ht="12.5">
      <c r="M945" s="14"/>
      <c r="N945" s="14"/>
    </row>
    <row r="946" spans="13:14" ht="12.5">
      <c r="M946" s="14"/>
      <c r="N946" s="14"/>
    </row>
    <row r="947" spans="13:14" ht="12.5">
      <c r="M947" s="14"/>
      <c r="N947" s="14"/>
    </row>
    <row r="948" spans="13:14" ht="12.5">
      <c r="M948" s="14"/>
      <c r="N948" s="14"/>
    </row>
    <row r="949" spans="13:14" ht="12.5">
      <c r="M949" s="14"/>
      <c r="N949" s="14"/>
    </row>
    <row r="950" spans="13:14" ht="12.5">
      <c r="M950" s="14"/>
      <c r="N950" s="14"/>
    </row>
    <row r="951" spans="13:14" ht="12.5">
      <c r="M951" s="14"/>
      <c r="N951" s="14"/>
    </row>
    <row r="952" spans="13:14" ht="12.5">
      <c r="M952" s="14"/>
      <c r="N952" s="14"/>
    </row>
    <row r="953" spans="13:14" ht="12.5">
      <c r="M953" s="14"/>
      <c r="N953" s="14"/>
    </row>
    <row r="954" spans="13:14" ht="12.5">
      <c r="M954" s="14"/>
      <c r="N954" s="14"/>
    </row>
    <row r="955" spans="13:14" ht="12.5">
      <c r="M955" s="14"/>
      <c r="N955" s="14"/>
    </row>
    <row r="956" spans="13:14" ht="12.5">
      <c r="M956" s="14"/>
      <c r="N956" s="14"/>
    </row>
    <row r="957" spans="13:14" ht="12.5">
      <c r="M957" s="14"/>
      <c r="N957" s="14"/>
    </row>
    <row r="958" spans="13:14" ht="12.5">
      <c r="M958" s="14"/>
      <c r="N958" s="14"/>
    </row>
    <row r="959" spans="13:14" ht="12.5">
      <c r="M959" s="14"/>
      <c r="N959" s="14"/>
    </row>
    <row r="960" spans="13:14" ht="12.5">
      <c r="M960" s="14"/>
      <c r="N960" s="14"/>
    </row>
    <row r="961" spans="13:14" ht="12.5">
      <c r="M961" s="14"/>
      <c r="N961" s="14"/>
    </row>
    <row r="962" spans="13:14" ht="12.5">
      <c r="M962" s="14"/>
      <c r="N962" s="14"/>
    </row>
    <row r="963" spans="13:14" ht="12.5">
      <c r="M963" s="14"/>
      <c r="N963" s="14"/>
    </row>
    <row r="964" spans="13:14" ht="12.5">
      <c r="M964" s="14"/>
      <c r="N964" s="14"/>
    </row>
    <row r="965" spans="13:14" ht="12.5">
      <c r="M965" s="14"/>
      <c r="N965" s="14"/>
    </row>
    <row r="966" spans="13:14" ht="12.5">
      <c r="M966" s="14"/>
      <c r="N966" s="14"/>
    </row>
    <row r="967" spans="13:14" ht="12.5">
      <c r="M967" s="14"/>
      <c r="N967" s="14"/>
    </row>
    <row r="968" spans="13:14" ht="12.5">
      <c r="M968" s="14"/>
      <c r="N968" s="14"/>
    </row>
    <row r="969" spans="13:14" ht="12.5">
      <c r="M969" s="14"/>
      <c r="N969" s="14"/>
    </row>
    <row r="970" spans="13:14" ht="12.5">
      <c r="M970" s="14"/>
      <c r="N970" s="14"/>
    </row>
    <row r="971" spans="13:14" ht="12.5">
      <c r="M971" s="14"/>
      <c r="N971" s="14"/>
    </row>
    <row r="972" spans="13:14" ht="12.5">
      <c r="M972" s="14"/>
      <c r="N972" s="14"/>
    </row>
    <row r="973" spans="13:14" ht="12.5">
      <c r="M973" s="14"/>
      <c r="N973" s="14"/>
    </row>
    <row r="974" spans="13:14" ht="12.5">
      <c r="M974" s="14"/>
      <c r="N974" s="14"/>
    </row>
    <row r="975" spans="13:14" ht="12.5">
      <c r="M975" s="14"/>
      <c r="N975" s="14"/>
    </row>
    <row r="976" spans="13:14" ht="12.5">
      <c r="M976" s="14"/>
      <c r="N976" s="14"/>
    </row>
    <row r="977" spans="13:14" ht="12.5">
      <c r="M977" s="14"/>
      <c r="N977" s="14"/>
    </row>
    <row r="978" spans="13:14" ht="12.5">
      <c r="M978" s="14"/>
      <c r="N978" s="14"/>
    </row>
    <row r="979" spans="13:14" ht="12.5">
      <c r="M979" s="14"/>
      <c r="N979" s="14"/>
    </row>
    <row r="980" spans="13:14" ht="12.5">
      <c r="M980" s="14"/>
      <c r="N980" s="14"/>
    </row>
    <row r="981" spans="13:14" ht="12.5">
      <c r="M981" s="14"/>
      <c r="N981" s="14"/>
    </row>
    <row r="982" spans="13:14" ht="12.5">
      <c r="M982" s="14"/>
      <c r="N982" s="14"/>
    </row>
    <row r="983" spans="13:14" ht="12.5">
      <c r="M983" s="14"/>
      <c r="N983" s="14"/>
    </row>
    <row r="984" spans="13:14" ht="12.5">
      <c r="M984" s="14"/>
      <c r="N984" s="14"/>
    </row>
    <row r="985" spans="13:14" ht="12.5">
      <c r="M985" s="14"/>
      <c r="N985" s="14"/>
    </row>
    <row r="986" spans="13:14" ht="12.5">
      <c r="M986" s="14"/>
      <c r="N986" s="14"/>
    </row>
    <row r="987" spans="13:14" ht="12.5">
      <c r="M987" s="14"/>
      <c r="N987" s="14"/>
    </row>
    <row r="988" spans="13:14" ht="12.5">
      <c r="M988" s="14"/>
      <c r="N988" s="14"/>
    </row>
    <row r="989" spans="13:14" ht="12.5">
      <c r="M989" s="14"/>
      <c r="N989" s="14"/>
    </row>
    <row r="990" spans="13:14" ht="12.5">
      <c r="M990" s="14"/>
      <c r="N990" s="14"/>
    </row>
    <row r="991" spans="13:14" ht="12.5">
      <c r="M991" s="14"/>
      <c r="N991" s="14"/>
    </row>
    <row r="992" spans="13:14" ht="12.5">
      <c r="M992" s="14"/>
      <c r="N992" s="14"/>
    </row>
    <row r="993" spans="13:14" ht="12.5">
      <c r="M993" s="14"/>
      <c r="N993" s="14"/>
    </row>
    <row r="994" spans="13:14" ht="12.5">
      <c r="M994" s="14"/>
      <c r="N994" s="14"/>
    </row>
    <row r="995" spans="13:14" ht="12.5">
      <c r="M995" s="14"/>
      <c r="N995" s="14"/>
    </row>
    <row r="996" spans="13:14" ht="12.5">
      <c r="M996" s="14"/>
      <c r="N996" s="14"/>
    </row>
    <row r="997" spans="13:14" ht="12.5">
      <c r="M997" s="14"/>
      <c r="N997" s="14"/>
    </row>
    <row r="998" spans="13:14" ht="12.5">
      <c r="M998" s="14"/>
      <c r="N998" s="14"/>
    </row>
    <row r="999" spans="13:14" ht="12.5">
      <c r="M999" s="14"/>
      <c r="N999" s="14"/>
    </row>
    <row r="1000" spans="13:14" ht="12.5">
      <c r="M1000" s="14"/>
      <c r="N1000" s="14"/>
    </row>
    <row r="1001" spans="13:14" ht="12.5">
      <c r="M1001" s="14"/>
      <c r="N1001" s="14"/>
    </row>
    <row r="1002" spans="13:14" ht="12.5">
      <c r="M1002" s="14"/>
      <c r="N1002" s="14"/>
    </row>
    <row r="1003" spans="13:14" ht="12.5">
      <c r="M1003" s="14"/>
      <c r="N1003" s="14"/>
    </row>
    <row r="1004" spans="13:14" ht="12.5">
      <c r="M1004" s="14"/>
      <c r="N1004" s="14"/>
    </row>
  </sheetData>
  <conditionalFormatting sqref="B3:D60">
    <cfRule type="expression" dxfId="8" priority="1">
      <formula>$D3=TRUE</formula>
    </cfRule>
    <cfRule type="expression" dxfId="7" priority="2">
      <formula>$C3=TRUE</formula>
    </cfRule>
  </conditionalFormatting>
  <conditionalFormatting sqref="G3:I60">
    <cfRule type="expression" dxfId="6" priority="3">
      <formula>$I3=TRUE</formula>
    </cfRule>
    <cfRule type="expression" dxfId="5" priority="4">
      <formula>$H3=TRUE</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J1004"/>
  <sheetViews>
    <sheetView workbookViewId="0">
      <selection activeCell="K27" sqref="K27"/>
    </sheetView>
  </sheetViews>
  <sheetFormatPr defaultColWidth="12.6328125" defaultRowHeight="15.75" customHeight="1"/>
  <cols>
    <col min="1" max="1" width="0.36328125" customWidth="1"/>
    <col min="2" max="2" width="13.08984375" customWidth="1"/>
    <col min="3" max="4" width="8.26953125" customWidth="1"/>
    <col min="5" max="5" width="25.453125" customWidth="1"/>
    <col min="6" max="6" width="0.36328125" customWidth="1"/>
    <col min="7" max="7" width="13" customWidth="1"/>
    <col min="8" max="8" width="9.90625" customWidth="1"/>
    <col min="9" max="9" width="11" customWidth="1"/>
    <col min="10" max="10" width="0.7265625" customWidth="1"/>
  </cols>
  <sheetData>
    <row r="1" spans="2:9" ht="1.5" customHeight="1">
      <c r="B1" s="99"/>
      <c r="C1" s="99"/>
      <c r="D1" s="99"/>
      <c r="E1" s="99"/>
      <c r="I1" s="279"/>
    </row>
    <row r="2" spans="2:9" ht="13">
      <c r="B2" s="20" t="s">
        <v>1205</v>
      </c>
      <c r="C2" s="103" t="s">
        <v>86</v>
      </c>
      <c r="D2" s="103" t="s">
        <v>87</v>
      </c>
      <c r="E2" s="104" t="s">
        <v>110</v>
      </c>
      <c r="G2" s="280" t="s">
        <v>17</v>
      </c>
      <c r="H2" s="281" t="s">
        <v>18</v>
      </c>
      <c r="I2" s="281" t="s">
        <v>14</v>
      </c>
    </row>
    <row r="3" spans="2:9" ht="12.5">
      <c r="B3" s="149" t="s">
        <v>1206</v>
      </c>
      <c r="C3" s="14" t="b">
        <v>1</v>
      </c>
      <c r="D3" s="14" t="b">
        <v>1</v>
      </c>
      <c r="E3" s="117" t="s">
        <v>348</v>
      </c>
      <c r="G3" s="282" t="str">
        <f>B2</f>
        <v>Archwings</v>
      </c>
      <c r="H3" s="283">
        <f>COUNTIF(C3:C6, "TRUE")</f>
        <v>4</v>
      </c>
      <c r="I3" s="283">
        <f>COUNTIF(D3:D6, "TRUE")</f>
        <v>4</v>
      </c>
    </row>
    <row r="4" spans="2:9" ht="12.5">
      <c r="B4" s="149" t="s">
        <v>1207</v>
      </c>
      <c r="C4" s="14" t="b">
        <v>1</v>
      </c>
      <c r="D4" s="14" t="b">
        <v>1</v>
      </c>
      <c r="E4" s="117" t="s">
        <v>348</v>
      </c>
      <c r="G4" s="282" t="str">
        <f>B8</f>
        <v>Prime</v>
      </c>
      <c r="H4" s="283">
        <f>COUNTIF(C11, "TRUE")</f>
        <v>0</v>
      </c>
      <c r="I4" s="283">
        <f>COUNTIF(D11, "TRUE")</f>
        <v>0</v>
      </c>
    </row>
    <row r="5" spans="2:9" ht="12.5">
      <c r="B5" s="149" t="s">
        <v>1208</v>
      </c>
      <c r="C5" s="14" t="b">
        <v>1</v>
      </c>
      <c r="D5" s="14" t="b">
        <v>1</v>
      </c>
      <c r="E5" s="117" t="s">
        <v>348</v>
      </c>
      <c r="G5" s="28" t="s">
        <v>55</v>
      </c>
      <c r="H5" s="284">
        <f t="shared" ref="H5:I5" si="0">SUM(H3:H4)</f>
        <v>4</v>
      </c>
      <c r="I5" s="284">
        <f t="shared" si="0"/>
        <v>4</v>
      </c>
    </row>
    <row r="6" spans="2:9" ht="12.5">
      <c r="B6" s="162" t="s">
        <v>1209</v>
      </c>
      <c r="C6" s="163" t="b">
        <v>1</v>
      </c>
      <c r="D6" s="163" t="b">
        <v>1</v>
      </c>
      <c r="E6" s="285" t="s">
        <v>1210</v>
      </c>
      <c r="G6" s="28" t="s">
        <v>1211</v>
      </c>
      <c r="H6" s="286"/>
      <c r="I6" s="284">
        <f>COUNTA(D3:D6,D11)</f>
        <v>5</v>
      </c>
    </row>
    <row r="7" spans="2:9" ht="12.5">
      <c r="B7" s="163"/>
      <c r="C7" s="163"/>
      <c r="D7" s="163"/>
      <c r="E7" s="163"/>
      <c r="G7" s="282" t="str">
        <f>B13</f>
        <v>Arch-Guns</v>
      </c>
      <c r="H7" s="283">
        <f>COUNTIF(C14:C32, "TRUE")</f>
        <v>8</v>
      </c>
      <c r="I7" s="283">
        <f>SUM(COUNTIF(D14:D30, "TRUE"),COUNTIF(D32, "TRUE"))</f>
        <v>2</v>
      </c>
    </row>
    <row r="8" spans="2:9" ht="13">
      <c r="B8" s="100" t="s">
        <v>567</v>
      </c>
      <c r="C8" s="101" t="s">
        <v>86</v>
      </c>
      <c r="D8" s="101" t="s">
        <v>87</v>
      </c>
      <c r="E8" s="102" t="s">
        <v>110</v>
      </c>
      <c r="G8" s="282" t="s">
        <v>567</v>
      </c>
      <c r="H8" s="283">
        <f>COUNTIF(C9:C10, "TRUE")</f>
        <v>0</v>
      </c>
      <c r="I8" s="283">
        <f>COUNTIF(D9:D10, "TRUE")</f>
        <v>0</v>
      </c>
    </row>
    <row r="9" spans="2:9" ht="12.5">
      <c r="B9" s="146" t="s">
        <v>1212</v>
      </c>
      <c r="C9" s="147" t="b">
        <v>0</v>
      </c>
      <c r="D9" s="147" t="b">
        <v>0</v>
      </c>
      <c r="E9" s="287" t="s">
        <v>115</v>
      </c>
      <c r="G9" s="28" t="s">
        <v>55</v>
      </c>
      <c r="H9" s="284">
        <f t="shared" ref="H9:I9" si="1">SUM(H7:H8)</f>
        <v>8</v>
      </c>
      <c r="I9" s="284">
        <f t="shared" si="1"/>
        <v>2</v>
      </c>
    </row>
    <row r="10" spans="2:9" ht="12.5">
      <c r="B10" s="149" t="s">
        <v>1213</v>
      </c>
      <c r="C10" s="14" t="b">
        <v>0</v>
      </c>
      <c r="D10" s="14" t="b">
        <v>0</v>
      </c>
      <c r="E10" s="171" t="s">
        <v>115</v>
      </c>
      <c r="G10" s="28" t="s">
        <v>1214</v>
      </c>
      <c r="H10" s="286"/>
      <c r="I10" s="284">
        <f>COUNTA(,D14:D33, D9:D10) -2</f>
        <v>21</v>
      </c>
    </row>
    <row r="11" spans="2:9" ht="12.5">
      <c r="B11" s="162" t="s">
        <v>1215</v>
      </c>
      <c r="C11" s="163" t="b">
        <v>0</v>
      </c>
      <c r="D11" s="163" t="b">
        <v>0</v>
      </c>
      <c r="E11" s="181" t="s">
        <v>244</v>
      </c>
      <c r="G11" s="28" t="s">
        <v>1216</v>
      </c>
      <c r="H11" s="286"/>
      <c r="I11" s="284">
        <f>SUM(COUNTIF(D31,TRUE),COUNTIF(D33,TRUE))</f>
        <v>0</v>
      </c>
    </row>
    <row r="12" spans="2:9" ht="12.5">
      <c r="G12" s="10" t="str">
        <f>B35</f>
        <v>Arch-Melee</v>
      </c>
      <c r="H12" s="283">
        <f t="shared" ref="H12:I12" si="2">COUNTIF(C36:C43, "TRUE")</f>
        <v>1</v>
      </c>
      <c r="I12" s="283">
        <f t="shared" si="2"/>
        <v>1</v>
      </c>
    </row>
    <row r="13" spans="2:9" ht="13">
      <c r="B13" s="100" t="s">
        <v>1217</v>
      </c>
      <c r="C13" s="101" t="s">
        <v>86</v>
      </c>
      <c r="D13" s="101" t="s">
        <v>87</v>
      </c>
      <c r="E13" s="101" t="s">
        <v>110</v>
      </c>
      <c r="G13" s="28" t="s">
        <v>1218</v>
      </c>
      <c r="H13" s="286"/>
      <c r="I13" s="284">
        <f>COUNTA(D36:D43)</f>
        <v>8</v>
      </c>
    </row>
    <row r="14" spans="2:9" ht="12.5">
      <c r="B14" s="146" t="s">
        <v>1219</v>
      </c>
      <c r="C14" s="147" t="b">
        <v>1</v>
      </c>
      <c r="D14" s="147" t="b">
        <v>0</v>
      </c>
      <c r="E14" s="288" t="s">
        <v>230</v>
      </c>
      <c r="G14" s="10" t="str">
        <f>B45</f>
        <v>K-Drive</v>
      </c>
      <c r="H14" s="283">
        <f t="shared" ref="H14:I14" si="3">COUNTIF(C46:C50, "TRUE")</f>
        <v>1</v>
      </c>
      <c r="I14" s="283">
        <f t="shared" si="3"/>
        <v>0</v>
      </c>
    </row>
    <row r="15" spans="2:9" ht="12.5">
      <c r="B15" s="149" t="s">
        <v>1220</v>
      </c>
      <c r="C15" s="14" t="b">
        <v>0</v>
      </c>
      <c r="D15" s="14" t="b">
        <v>0</v>
      </c>
      <c r="E15" s="159" t="s">
        <v>1221</v>
      </c>
      <c r="G15" s="28" t="s">
        <v>1222</v>
      </c>
      <c r="H15" s="286"/>
      <c r="I15" s="284">
        <f>COUNTA(D46:D50)</f>
        <v>5</v>
      </c>
    </row>
    <row r="16" spans="2:9" ht="12.5">
      <c r="B16" s="149" t="s">
        <v>1223</v>
      </c>
      <c r="C16" s="14" t="b">
        <v>1</v>
      </c>
      <c r="D16" s="14" t="b">
        <v>0</v>
      </c>
      <c r="E16" s="152" t="s">
        <v>305</v>
      </c>
      <c r="G16" s="79" t="s">
        <v>1224</v>
      </c>
      <c r="H16" s="283">
        <f>COUNTIF(C53:C55, "TRUE")</f>
        <v>1</v>
      </c>
      <c r="I16" s="283">
        <f>(COUNTIF(D53, "TRUE")+COUNTIF(D55, "TRUE"))</f>
        <v>1</v>
      </c>
    </row>
    <row r="17" spans="2:10" ht="12.5">
      <c r="B17" s="149" t="s">
        <v>1225</v>
      </c>
      <c r="C17" s="14" t="b">
        <v>0</v>
      </c>
      <c r="D17" s="14" t="b">
        <v>0</v>
      </c>
      <c r="E17" s="152" t="s">
        <v>305</v>
      </c>
      <c r="G17" s="58" t="s">
        <v>1226</v>
      </c>
      <c r="H17" s="286"/>
      <c r="I17" s="284">
        <f>COUNTA(D53,D55)</f>
        <v>2</v>
      </c>
    </row>
    <row r="18" spans="2:10" ht="12.5">
      <c r="B18" s="149" t="s">
        <v>1227</v>
      </c>
      <c r="C18" s="14" t="b">
        <v>1</v>
      </c>
      <c r="D18" s="14" t="b">
        <v>0</v>
      </c>
      <c r="E18" s="152" t="s">
        <v>305</v>
      </c>
      <c r="G18" s="28" t="s">
        <v>1228</v>
      </c>
      <c r="H18" s="286"/>
      <c r="I18" s="284">
        <f>SUM(COUNTIF(D54,TRUE),COUNTIF(D56,TRUE))</f>
        <v>1</v>
      </c>
    </row>
    <row r="19" spans="2:10" ht="12.5">
      <c r="B19" s="149" t="s">
        <v>1229</v>
      </c>
      <c r="C19" s="14" t="b">
        <v>0</v>
      </c>
      <c r="D19" s="14" t="b">
        <v>0</v>
      </c>
      <c r="E19" s="157" t="s">
        <v>348</v>
      </c>
      <c r="G19" s="114" t="s">
        <v>61</v>
      </c>
      <c r="H19" s="279"/>
      <c r="I19" s="283">
        <f>SUM(H25:H29)</f>
        <v>41</v>
      </c>
    </row>
    <row r="20" spans="2:10" ht="12.5">
      <c r="B20" s="149" t="s">
        <v>1230</v>
      </c>
      <c r="C20" s="14" t="b">
        <v>1</v>
      </c>
      <c r="D20" s="14" t="b">
        <v>0</v>
      </c>
      <c r="E20" s="154" t="s">
        <v>313</v>
      </c>
      <c r="G20" s="289" t="s">
        <v>1231</v>
      </c>
      <c r="H20" s="290"/>
      <c r="I20" s="291">
        <v>50</v>
      </c>
    </row>
    <row r="21" spans="2:10" ht="12.5">
      <c r="B21" s="149" t="s">
        <v>1232</v>
      </c>
      <c r="C21" s="14" t="b">
        <v>1</v>
      </c>
      <c r="D21" s="14" t="b">
        <v>1</v>
      </c>
      <c r="E21" s="267" t="s">
        <v>1233</v>
      </c>
      <c r="I21" s="14"/>
    </row>
    <row r="22" spans="2:10" ht="12.5">
      <c r="B22" s="10" t="s">
        <v>1234</v>
      </c>
      <c r="C22" s="13" t="b">
        <v>1</v>
      </c>
      <c r="D22" s="13" t="b">
        <v>0</v>
      </c>
      <c r="E22" s="168" t="s">
        <v>1235</v>
      </c>
      <c r="G22" s="79" t="s">
        <v>1236</v>
      </c>
      <c r="H22" s="292" t="b">
        <v>1</v>
      </c>
    </row>
    <row r="23" spans="2:10" ht="12.5">
      <c r="B23" s="149" t="s">
        <v>1237</v>
      </c>
      <c r="C23" s="14" t="b">
        <v>0</v>
      </c>
      <c r="D23" s="14" t="b">
        <v>0</v>
      </c>
      <c r="E23" s="157" t="s">
        <v>348</v>
      </c>
      <c r="I23" s="14"/>
    </row>
    <row r="24" spans="2:10" ht="13">
      <c r="B24" s="149" t="s">
        <v>1238</v>
      </c>
      <c r="C24" s="14" t="b">
        <v>1</v>
      </c>
      <c r="D24" s="14" t="b">
        <v>0</v>
      </c>
      <c r="E24" s="151" t="s">
        <v>1239</v>
      </c>
      <c r="G24" s="105" t="s">
        <v>1240</v>
      </c>
      <c r="H24" s="293" t="s">
        <v>1241</v>
      </c>
    </row>
    <row r="25" spans="2:10" ht="12.5">
      <c r="B25" s="149" t="s">
        <v>1242</v>
      </c>
      <c r="C25" s="14" t="b">
        <v>1</v>
      </c>
      <c r="D25" s="14" t="b">
        <v>1</v>
      </c>
      <c r="E25" s="267" t="s">
        <v>1243</v>
      </c>
      <c r="G25" s="10" t="s">
        <v>1244</v>
      </c>
      <c r="H25" s="12">
        <v>8</v>
      </c>
    </row>
    <row r="26" spans="2:10" ht="12.5">
      <c r="B26" s="149" t="s">
        <v>1245</v>
      </c>
      <c r="C26" s="14" t="b">
        <v>0</v>
      </c>
      <c r="D26" s="14" t="b">
        <v>0</v>
      </c>
      <c r="E26" s="159" t="s">
        <v>1221</v>
      </c>
      <c r="G26" s="10" t="s">
        <v>1246</v>
      </c>
      <c r="H26" s="12">
        <v>8</v>
      </c>
      <c r="J26" s="294"/>
    </row>
    <row r="27" spans="2:10" ht="12.5">
      <c r="B27" s="149" t="s">
        <v>1247</v>
      </c>
      <c r="C27" s="14" t="b">
        <v>0</v>
      </c>
      <c r="D27" s="14" t="b">
        <v>0</v>
      </c>
      <c r="E27" s="152" t="s">
        <v>305</v>
      </c>
      <c r="G27" s="10" t="s">
        <v>1248</v>
      </c>
      <c r="H27" s="12">
        <v>9</v>
      </c>
      <c r="J27" s="294"/>
    </row>
    <row r="28" spans="2:10" ht="12.5">
      <c r="B28" s="149" t="s">
        <v>1249</v>
      </c>
      <c r="C28" s="295" t="b">
        <v>0</v>
      </c>
      <c r="D28" s="295" t="b">
        <v>0</v>
      </c>
      <c r="E28" s="182" t="s">
        <v>1250</v>
      </c>
      <c r="G28" s="10" t="s">
        <v>1251</v>
      </c>
      <c r="H28" s="12">
        <v>8</v>
      </c>
    </row>
    <row r="29" spans="2:10" ht="12.5">
      <c r="B29" s="149" t="s">
        <v>1252</v>
      </c>
      <c r="C29" s="14" t="b">
        <v>0</v>
      </c>
      <c r="D29" s="14" t="b">
        <v>0</v>
      </c>
      <c r="E29" s="157" t="s">
        <v>348</v>
      </c>
      <c r="G29" s="15" t="s">
        <v>1253</v>
      </c>
      <c r="H29" s="17">
        <v>8</v>
      </c>
    </row>
    <row r="30" spans="2:10" ht="12.5">
      <c r="B30" s="149" t="s">
        <v>1254</v>
      </c>
      <c r="C30" s="14" t="b">
        <v>0</v>
      </c>
      <c r="D30" s="14" t="b">
        <v>0</v>
      </c>
      <c r="E30" s="296" t="s">
        <v>1255</v>
      </c>
      <c r="I30" s="14"/>
    </row>
    <row r="31" spans="2:10" ht="12.5">
      <c r="B31" s="149" t="s">
        <v>1256</v>
      </c>
      <c r="C31" s="14"/>
      <c r="D31" s="14" t="b">
        <v>0</v>
      </c>
      <c r="E31" s="296"/>
      <c r="I31" s="14"/>
    </row>
    <row r="32" spans="2:10" ht="12.5">
      <c r="B32" s="149" t="s">
        <v>1257</v>
      </c>
      <c r="C32" s="14" t="b">
        <v>0</v>
      </c>
      <c r="D32" s="14" t="b">
        <v>0</v>
      </c>
      <c r="E32" s="296" t="s">
        <v>1255</v>
      </c>
      <c r="I32" s="14"/>
    </row>
    <row r="33" spans="2:9" ht="12.5">
      <c r="B33" s="15" t="s">
        <v>515</v>
      </c>
      <c r="C33" s="16"/>
      <c r="D33" s="16" t="b">
        <v>0</v>
      </c>
      <c r="E33" s="198"/>
      <c r="I33" s="14"/>
    </row>
    <row r="34" spans="2:9" ht="12.5">
      <c r="I34" s="14"/>
    </row>
    <row r="35" spans="2:9" ht="13">
      <c r="B35" s="242" t="s">
        <v>49</v>
      </c>
      <c r="C35" s="101" t="s">
        <v>86</v>
      </c>
      <c r="D35" s="101" t="s">
        <v>87</v>
      </c>
      <c r="E35" s="101" t="s">
        <v>110</v>
      </c>
      <c r="I35" s="14"/>
    </row>
    <row r="36" spans="2:9" ht="12.5">
      <c r="B36" s="146" t="s">
        <v>1258</v>
      </c>
      <c r="C36" s="147" t="b">
        <v>0</v>
      </c>
      <c r="D36" s="147" t="b">
        <v>0</v>
      </c>
      <c r="E36" s="226" t="s">
        <v>305</v>
      </c>
      <c r="I36" s="14"/>
    </row>
    <row r="37" spans="2:9" ht="12.5">
      <c r="B37" s="149" t="s">
        <v>1259</v>
      </c>
      <c r="C37" s="14" t="b">
        <v>0</v>
      </c>
      <c r="D37" s="14" t="b">
        <v>0</v>
      </c>
      <c r="E37" s="152" t="s">
        <v>305</v>
      </c>
      <c r="I37" s="14"/>
    </row>
    <row r="38" spans="2:9" ht="12.5">
      <c r="B38" s="149" t="s">
        <v>1260</v>
      </c>
      <c r="C38" s="14" t="b">
        <v>0</v>
      </c>
      <c r="D38" s="14" t="b">
        <v>0</v>
      </c>
      <c r="E38" s="152" t="s">
        <v>305</v>
      </c>
      <c r="I38" s="14"/>
    </row>
    <row r="39" spans="2:9" ht="13">
      <c r="B39" s="149" t="s">
        <v>1261</v>
      </c>
      <c r="C39" s="14" t="b">
        <v>0</v>
      </c>
      <c r="D39" s="14" t="b">
        <v>0</v>
      </c>
      <c r="E39" s="210" t="s">
        <v>1262</v>
      </c>
      <c r="I39" s="14"/>
    </row>
    <row r="40" spans="2:9" ht="12.5">
      <c r="B40" s="149" t="s">
        <v>1263</v>
      </c>
      <c r="C40" s="14" t="b">
        <v>0</v>
      </c>
      <c r="D40" s="14" t="b">
        <v>0</v>
      </c>
      <c r="E40" s="152" t="s">
        <v>305</v>
      </c>
      <c r="I40" s="14"/>
    </row>
    <row r="41" spans="2:9" ht="12.5">
      <c r="B41" s="10" t="s">
        <v>1264</v>
      </c>
      <c r="C41" s="13" t="b">
        <v>0</v>
      </c>
      <c r="D41" s="13" t="b">
        <v>0</v>
      </c>
      <c r="E41" s="179" t="s">
        <v>1250</v>
      </c>
      <c r="I41" s="14"/>
    </row>
    <row r="42" spans="2:9" ht="12.5">
      <c r="B42" s="149" t="s">
        <v>1265</v>
      </c>
      <c r="C42" s="14" t="b">
        <v>0</v>
      </c>
      <c r="D42" s="14" t="b">
        <v>0</v>
      </c>
      <c r="E42" s="152" t="s">
        <v>305</v>
      </c>
      <c r="I42" s="14"/>
    </row>
    <row r="43" spans="2:9" ht="12.5">
      <c r="B43" s="162" t="s">
        <v>1266</v>
      </c>
      <c r="C43" s="163" t="b">
        <v>1</v>
      </c>
      <c r="D43" s="163" t="b">
        <v>1</v>
      </c>
      <c r="E43" s="199" t="s">
        <v>1233</v>
      </c>
      <c r="I43" s="14"/>
    </row>
    <row r="44" spans="2:9" ht="12.5">
      <c r="I44" s="14"/>
    </row>
    <row r="45" spans="2:9" ht="13">
      <c r="B45" s="100" t="s">
        <v>1267</v>
      </c>
      <c r="C45" s="101" t="s">
        <v>86</v>
      </c>
      <c r="D45" s="101" t="s">
        <v>87</v>
      </c>
      <c r="E45" s="102" t="s">
        <v>110</v>
      </c>
      <c r="I45" s="14"/>
    </row>
    <row r="46" spans="2:9" ht="12.5">
      <c r="B46" s="146" t="s">
        <v>1268</v>
      </c>
      <c r="C46" s="147" t="b">
        <v>0</v>
      </c>
      <c r="D46" s="147" t="b">
        <v>0</v>
      </c>
      <c r="E46" s="215" t="s">
        <v>1269</v>
      </c>
      <c r="I46" s="14"/>
    </row>
    <row r="47" spans="2:9" ht="12.5">
      <c r="B47" s="149" t="s">
        <v>1270</v>
      </c>
      <c r="C47" s="14" t="b">
        <v>0</v>
      </c>
      <c r="D47" s="14" t="b">
        <v>0</v>
      </c>
      <c r="E47" s="126" t="s">
        <v>1271</v>
      </c>
      <c r="I47" s="14"/>
    </row>
    <row r="48" spans="2:9" ht="12.5">
      <c r="B48" s="149" t="s">
        <v>1272</v>
      </c>
      <c r="C48" s="14" t="b">
        <v>1</v>
      </c>
      <c r="D48" s="14" t="b">
        <v>0</v>
      </c>
      <c r="E48" s="129" t="s">
        <v>1269</v>
      </c>
      <c r="I48" s="14"/>
    </row>
    <row r="49" spans="2:9" ht="12.5">
      <c r="B49" s="149" t="s">
        <v>1273</v>
      </c>
      <c r="C49" s="14" t="b">
        <v>0</v>
      </c>
      <c r="D49" s="14" t="b">
        <v>0</v>
      </c>
      <c r="E49" s="129" t="s">
        <v>1269</v>
      </c>
      <c r="I49" s="14"/>
    </row>
    <row r="50" spans="2:9" ht="12.5">
      <c r="B50" s="162" t="s">
        <v>1274</v>
      </c>
      <c r="C50" s="163" t="b">
        <v>0</v>
      </c>
      <c r="D50" s="163" t="b">
        <v>0</v>
      </c>
      <c r="E50" s="216" t="s">
        <v>1269</v>
      </c>
      <c r="I50" s="14"/>
    </row>
    <row r="51" spans="2:9" ht="12.5">
      <c r="I51" s="14"/>
    </row>
    <row r="52" spans="2:9" ht="13">
      <c r="B52" s="20" t="s">
        <v>1224</v>
      </c>
      <c r="C52" s="103" t="s">
        <v>86</v>
      </c>
      <c r="D52" s="103" t="s">
        <v>87</v>
      </c>
      <c r="E52" s="104" t="s">
        <v>110</v>
      </c>
      <c r="I52" s="14"/>
    </row>
    <row r="53" spans="2:9" ht="12.5">
      <c r="B53" s="149" t="s">
        <v>1275</v>
      </c>
      <c r="C53" s="14" t="b">
        <v>1</v>
      </c>
      <c r="D53" s="14" t="b">
        <v>1</v>
      </c>
      <c r="E53" s="129" t="s">
        <v>1221</v>
      </c>
      <c r="I53" s="14"/>
    </row>
    <row r="54" spans="2:9" ht="12.5">
      <c r="B54" s="10" t="s">
        <v>515</v>
      </c>
      <c r="D54" s="13" t="b">
        <v>1</v>
      </c>
      <c r="E54" s="245"/>
      <c r="I54" s="14"/>
    </row>
    <row r="55" spans="2:9" ht="12.5">
      <c r="B55" s="146" t="s">
        <v>1276</v>
      </c>
      <c r="C55" s="147" t="b">
        <v>0</v>
      </c>
      <c r="D55" s="147" t="b">
        <v>0</v>
      </c>
      <c r="E55" s="215" t="s">
        <v>1221</v>
      </c>
      <c r="I55" s="14"/>
    </row>
    <row r="56" spans="2:9" ht="12.5">
      <c r="B56" s="15" t="s">
        <v>515</v>
      </c>
      <c r="C56" s="16"/>
      <c r="D56" s="16" t="b">
        <v>0</v>
      </c>
      <c r="E56" s="243"/>
      <c r="I56" s="14"/>
    </row>
    <row r="57" spans="2:9" ht="12.5">
      <c r="I57" s="14"/>
    </row>
    <row r="58" spans="2:9" ht="12.5">
      <c r="I58" s="14"/>
    </row>
    <row r="59" spans="2:9" ht="12.5">
      <c r="I59" s="14"/>
    </row>
    <row r="60" spans="2:9" ht="12.5">
      <c r="I60" s="14"/>
    </row>
    <row r="61" spans="2:9" ht="12.5">
      <c r="I61" s="14"/>
    </row>
    <row r="62" spans="2:9" ht="12.5">
      <c r="I62" s="14"/>
    </row>
    <row r="63" spans="2:9" ht="12.5">
      <c r="I63" s="14"/>
    </row>
    <row r="64" spans="2:9" ht="12.5">
      <c r="I64" s="14"/>
    </row>
    <row r="65" spans="9:9" ht="12.5">
      <c r="I65" s="14"/>
    </row>
    <row r="66" spans="9:9" ht="12.5">
      <c r="I66" s="14"/>
    </row>
    <row r="67" spans="9:9" ht="12.5">
      <c r="I67" s="14"/>
    </row>
    <row r="68" spans="9:9" ht="12.5">
      <c r="I68" s="14"/>
    </row>
    <row r="69" spans="9:9" ht="12.5">
      <c r="I69" s="14"/>
    </row>
    <row r="70" spans="9:9" ht="12.5">
      <c r="I70" s="14"/>
    </row>
    <row r="71" spans="9:9" ht="12.5">
      <c r="I71" s="14"/>
    </row>
    <row r="72" spans="9:9" ht="12.5">
      <c r="I72" s="14"/>
    </row>
    <row r="73" spans="9:9" ht="12.5">
      <c r="I73" s="14"/>
    </row>
    <row r="74" spans="9:9" ht="12.5">
      <c r="I74" s="14"/>
    </row>
    <row r="75" spans="9:9" ht="12.5">
      <c r="I75" s="14"/>
    </row>
    <row r="76" spans="9:9" ht="12.5">
      <c r="I76" s="14"/>
    </row>
    <row r="77" spans="9:9" ht="12.5">
      <c r="I77" s="14"/>
    </row>
    <row r="78" spans="9:9" ht="12.5">
      <c r="I78" s="14"/>
    </row>
    <row r="79" spans="9:9" ht="12.5">
      <c r="I79" s="14"/>
    </row>
    <row r="80" spans="9:9" ht="12.5">
      <c r="I80" s="14"/>
    </row>
    <row r="81" spans="9:9" ht="12.5">
      <c r="I81" s="14"/>
    </row>
    <row r="82" spans="9:9" ht="12.5">
      <c r="I82" s="14"/>
    </row>
    <row r="83" spans="9:9" ht="12.5">
      <c r="I83" s="14"/>
    </row>
    <row r="84" spans="9:9" ht="12.5">
      <c r="I84" s="14"/>
    </row>
    <row r="85" spans="9:9" ht="12.5">
      <c r="I85" s="14"/>
    </row>
    <row r="86" spans="9:9" ht="12.5">
      <c r="I86" s="14"/>
    </row>
    <row r="87" spans="9:9" ht="12.5">
      <c r="I87" s="14"/>
    </row>
    <row r="88" spans="9:9" ht="12.5">
      <c r="I88" s="14"/>
    </row>
    <row r="89" spans="9:9" ht="12.5">
      <c r="I89" s="14"/>
    </row>
    <row r="90" spans="9:9" ht="12.5">
      <c r="I90" s="14"/>
    </row>
    <row r="91" spans="9:9" ht="12.5">
      <c r="I91" s="14"/>
    </row>
    <row r="92" spans="9:9" ht="12.5">
      <c r="I92" s="14"/>
    </row>
    <row r="93" spans="9:9" ht="12.5">
      <c r="I93" s="14"/>
    </row>
    <row r="94" spans="9:9" ht="12.5">
      <c r="I94" s="14"/>
    </row>
    <row r="95" spans="9:9" ht="12.5">
      <c r="I95" s="14"/>
    </row>
    <row r="96" spans="9:9" ht="12.5">
      <c r="I96" s="14"/>
    </row>
    <row r="97" spans="9:9" ht="12.5">
      <c r="I97" s="14"/>
    </row>
    <row r="98" spans="9:9" ht="12.5">
      <c r="I98" s="14"/>
    </row>
    <row r="99" spans="9:9" ht="12.5">
      <c r="I99" s="14"/>
    </row>
    <row r="100" spans="9:9" ht="12.5">
      <c r="I100" s="14"/>
    </row>
    <row r="101" spans="9:9" ht="12.5">
      <c r="I101" s="14"/>
    </row>
    <row r="102" spans="9:9" ht="12.5">
      <c r="I102" s="14"/>
    </row>
    <row r="103" spans="9:9" ht="12.5">
      <c r="I103" s="14"/>
    </row>
    <row r="104" spans="9:9" ht="12.5">
      <c r="I104" s="14"/>
    </row>
    <row r="105" spans="9:9" ht="12.5">
      <c r="I105" s="14"/>
    </row>
    <row r="106" spans="9:9" ht="12.5">
      <c r="I106" s="14"/>
    </row>
    <row r="107" spans="9:9" ht="12.5">
      <c r="I107" s="14"/>
    </row>
    <row r="108" spans="9:9" ht="12.5">
      <c r="I108" s="14"/>
    </row>
    <row r="109" spans="9:9" ht="12.5">
      <c r="I109" s="14"/>
    </row>
    <row r="110" spans="9:9" ht="12.5">
      <c r="I110" s="14"/>
    </row>
    <row r="111" spans="9:9" ht="12.5">
      <c r="I111" s="14"/>
    </row>
    <row r="112" spans="9:9" ht="12.5">
      <c r="I112" s="14"/>
    </row>
    <row r="113" spans="9:9" ht="12.5">
      <c r="I113" s="14"/>
    </row>
    <row r="114" spans="9:9" ht="12.5">
      <c r="I114" s="14"/>
    </row>
    <row r="115" spans="9:9" ht="12.5">
      <c r="I115" s="14"/>
    </row>
    <row r="116" spans="9:9" ht="12.5">
      <c r="I116" s="14"/>
    </row>
    <row r="117" spans="9:9" ht="12.5">
      <c r="I117" s="14"/>
    </row>
    <row r="118" spans="9:9" ht="12.5">
      <c r="I118" s="14"/>
    </row>
    <row r="119" spans="9:9" ht="12.5">
      <c r="I119" s="14"/>
    </row>
    <row r="120" spans="9:9" ht="12.5">
      <c r="I120" s="14"/>
    </row>
    <row r="121" spans="9:9" ht="12.5">
      <c r="I121" s="14"/>
    </row>
    <row r="122" spans="9:9" ht="12.5">
      <c r="I122" s="14"/>
    </row>
    <row r="123" spans="9:9" ht="12.5">
      <c r="I123" s="14"/>
    </row>
    <row r="124" spans="9:9" ht="12.5">
      <c r="I124" s="14"/>
    </row>
    <row r="125" spans="9:9" ht="12.5">
      <c r="I125" s="14"/>
    </row>
    <row r="126" spans="9:9" ht="12.5">
      <c r="I126" s="14"/>
    </row>
    <row r="127" spans="9:9" ht="12.5">
      <c r="I127" s="14"/>
    </row>
    <row r="128" spans="9:9" ht="12.5">
      <c r="I128" s="14"/>
    </row>
    <row r="129" spans="9:9" ht="12.5">
      <c r="I129" s="14"/>
    </row>
    <row r="130" spans="9:9" ht="12.5">
      <c r="I130" s="14"/>
    </row>
    <row r="131" spans="9:9" ht="12.5">
      <c r="I131" s="14"/>
    </row>
    <row r="132" spans="9:9" ht="12.5">
      <c r="I132" s="14"/>
    </row>
    <row r="133" spans="9:9" ht="12.5">
      <c r="I133" s="14"/>
    </row>
    <row r="134" spans="9:9" ht="12.5">
      <c r="I134" s="14"/>
    </row>
    <row r="135" spans="9:9" ht="12.5">
      <c r="I135" s="14"/>
    </row>
    <row r="136" spans="9:9" ht="12.5">
      <c r="I136" s="14"/>
    </row>
    <row r="137" spans="9:9" ht="12.5">
      <c r="I137" s="14"/>
    </row>
    <row r="138" spans="9:9" ht="12.5">
      <c r="I138" s="14"/>
    </row>
    <row r="139" spans="9:9" ht="12.5">
      <c r="I139" s="14"/>
    </row>
    <row r="140" spans="9:9" ht="12.5">
      <c r="I140" s="14"/>
    </row>
    <row r="141" spans="9:9" ht="12.5">
      <c r="I141" s="14"/>
    </row>
    <row r="142" spans="9:9" ht="12.5">
      <c r="I142" s="14"/>
    </row>
    <row r="143" spans="9:9" ht="12.5">
      <c r="I143" s="14"/>
    </row>
    <row r="144" spans="9:9" ht="12.5">
      <c r="I144" s="14"/>
    </row>
    <row r="145" spans="9:9" ht="12.5">
      <c r="I145" s="14"/>
    </row>
    <row r="146" spans="9:9" ht="12.5">
      <c r="I146" s="14"/>
    </row>
    <row r="147" spans="9:9" ht="12.5">
      <c r="I147" s="14"/>
    </row>
    <row r="148" spans="9:9" ht="12.5">
      <c r="I148" s="14"/>
    </row>
    <row r="149" spans="9:9" ht="12.5">
      <c r="I149" s="14"/>
    </row>
    <row r="150" spans="9:9" ht="12.5">
      <c r="I150" s="14"/>
    </row>
    <row r="151" spans="9:9" ht="12.5">
      <c r="I151" s="14"/>
    </row>
    <row r="152" spans="9:9" ht="12.5">
      <c r="I152" s="14"/>
    </row>
    <row r="153" spans="9:9" ht="12.5">
      <c r="I153" s="14"/>
    </row>
    <row r="154" spans="9:9" ht="12.5">
      <c r="I154" s="14"/>
    </row>
    <row r="155" spans="9:9" ht="12.5">
      <c r="I155" s="14"/>
    </row>
    <row r="156" spans="9:9" ht="12.5">
      <c r="I156" s="14"/>
    </row>
    <row r="157" spans="9:9" ht="12.5">
      <c r="I157" s="14"/>
    </row>
    <row r="158" spans="9:9" ht="12.5">
      <c r="I158" s="14"/>
    </row>
    <row r="159" spans="9:9" ht="12.5">
      <c r="I159" s="14"/>
    </row>
    <row r="160" spans="9:9" ht="12.5">
      <c r="I160" s="14"/>
    </row>
    <row r="161" spans="9:9" ht="12.5">
      <c r="I161" s="14"/>
    </row>
    <row r="162" spans="9:9" ht="12.5">
      <c r="I162" s="14"/>
    </row>
    <row r="163" spans="9:9" ht="12.5">
      <c r="I163" s="14"/>
    </row>
    <row r="164" spans="9:9" ht="12.5">
      <c r="I164" s="14"/>
    </row>
    <row r="165" spans="9:9" ht="12.5">
      <c r="I165" s="14"/>
    </row>
    <row r="166" spans="9:9" ht="12.5">
      <c r="I166" s="14"/>
    </row>
    <row r="167" spans="9:9" ht="12.5">
      <c r="I167" s="14"/>
    </row>
    <row r="168" spans="9:9" ht="12.5">
      <c r="I168" s="14"/>
    </row>
    <row r="169" spans="9:9" ht="12.5">
      <c r="I169" s="14"/>
    </row>
    <row r="170" spans="9:9" ht="12.5">
      <c r="I170" s="14"/>
    </row>
    <row r="171" spans="9:9" ht="12.5">
      <c r="I171" s="14"/>
    </row>
    <row r="172" spans="9:9" ht="12.5">
      <c r="I172" s="14"/>
    </row>
    <row r="173" spans="9:9" ht="12.5">
      <c r="I173" s="14"/>
    </row>
    <row r="174" spans="9:9" ht="12.5">
      <c r="I174" s="14"/>
    </row>
    <row r="175" spans="9:9" ht="12.5">
      <c r="I175" s="14"/>
    </row>
    <row r="176" spans="9:9" ht="12.5">
      <c r="I176" s="14"/>
    </row>
    <row r="177" spans="9:9" ht="12.5">
      <c r="I177" s="14"/>
    </row>
    <row r="178" spans="9:9" ht="12.5">
      <c r="I178" s="14"/>
    </row>
    <row r="179" spans="9:9" ht="12.5">
      <c r="I179" s="14"/>
    </row>
    <row r="180" spans="9:9" ht="12.5">
      <c r="I180" s="14"/>
    </row>
    <row r="181" spans="9:9" ht="12.5">
      <c r="I181" s="14"/>
    </row>
    <row r="182" spans="9:9" ht="12.5">
      <c r="I182" s="14"/>
    </row>
    <row r="183" spans="9:9" ht="12.5">
      <c r="I183" s="14"/>
    </row>
    <row r="184" spans="9:9" ht="12.5">
      <c r="I184" s="14"/>
    </row>
    <row r="185" spans="9:9" ht="12.5">
      <c r="I185" s="14"/>
    </row>
    <row r="186" spans="9:9" ht="12.5">
      <c r="I186" s="14"/>
    </row>
    <row r="187" spans="9:9" ht="12.5">
      <c r="I187" s="14"/>
    </row>
    <row r="188" spans="9:9" ht="12.5">
      <c r="I188" s="14"/>
    </row>
    <row r="189" spans="9:9" ht="12.5">
      <c r="I189" s="14"/>
    </row>
    <row r="190" spans="9:9" ht="12.5">
      <c r="I190" s="14"/>
    </row>
    <row r="191" spans="9:9" ht="12.5">
      <c r="I191" s="14"/>
    </row>
    <row r="192" spans="9:9" ht="12.5">
      <c r="I192" s="14"/>
    </row>
    <row r="193" spans="9:9" ht="12.5">
      <c r="I193" s="14"/>
    </row>
    <row r="194" spans="9:9" ht="12.5">
      <c r="I194" s="14"/>
    </row>
    <row r="195" spans="9:9" ht="12.5">
      <c r="I195" s="14"/>
    </row>
    <row r="196" spans="9:9" ht="12.5">
      <c r="I196" s="14"/>
    </row>
    <row r="197" spans="9:9" ht="12.5">
      <c r="I197" s="14"/>
    </row>
    <row r="198" spans="9:9" ht="12.5">
      <c r="I198" s="14"/>
    </row>
    <row r="199" spans="9:9" ht="12.5">
      <c r="I199" s="14"/>
    </row>
    <row r="200" spans="9:9" ht="12.5">
      <c r="I200" s="14"/>
    </row>
    <row r="201" spans="9:9" ht="12.5">
      <c r="I201" s="14"/>
    </row>
    <row r="202" spans="9:9" ht="12.5">
      <c r="I202" s="14"/>
    </row>
    <row r="203" spans="9:9" ht="12.5">
      <c r="I203" s="14"/>
    </row>
    <row r="204" spans="9:9" ht="12.5">
      <c r="I204" s="14"/>
    </row>
    <row r="205" spans="9:9" ht="12.5">
      <c r="I205" s="14"/>
    </row>
    <row r="206" spans="9:9" ht="12.5">
      <c r="I206" s="14"/>
    </row>
    <row r="207" spans="9:9" ht="12.5">
      <c r="I207" s="14"/>
    </row>
    <row r="208" spans="9:9" ht="12.5">
      <c r="I208" s="14"/>
    </row>
    <row r="209" spans="9:9" ht="12.5">
      <c r="I209" s="14"/>
    </row>
    <row r="210" spans="9:9" ht="12.5">
      <c r="I210" s="14"/>
    </row>
    <row r="211" spans="9:9" ht="12.5">
      <c r="I211" s="14"/>
    </row>
    <row r="212" spans="9:9" ht="12.5">
      <c r="I212" s="14"/>
    </row>
    <row r="213" spans="9:9" ht="12.5">
      <c r="I213" s="14"/>
    </row>
    <row r="214" spans="9:9" ht="12.5">
      <c r="I214" s="14"/>
    </row>
    <row r="215" spans="9:9" ht="12.5">
      <c r="I215" s="14"/>
    </row>
    <row r="216" spans="9:9" ht="12.5">
      <c r="I216" s="14"/>
    </row>
    <row r="217" spans="9:9" ht="12.5">
      <c r="I217" s="14"/>
    </row>
    <row r="218" spans="9:9" ht="12.5">
      <c r="I218" s="14"/>
    </row>
    <row r="219" spans="9:9" ht="12.5">
      <c r="I219" s="14"/>
    </row>
    <row r="220" spans="9:9" ht="12.5">
      <c r="I220" s="14"/>
    </row>
    <row r="221" spans="9:9" ht="12.5">
      <c r="I221" s="14"/>
    </row>
    <row r="222" spans="9:9" ht="12.5">
      <c r="I222" s="14"/>
    </row>
    <row r="223" spans="9:9" ht="12.5">
      <c r="I223" s="14"/>
    </row>
    <row r="224" spans="9:9" ht="12.5">
      <c r="I224" s="14"/>
    </row>
    <row r="225" spans="9:9" ht="12.5">
      <c r="I225" s="14"/>
    </row>
    <row r="226" spans="9:9" ht="12.5">
      <c r="I226" s="14"/>
    </row>
    <row r="227" spans="9:9" ht="12.5">
      <c r="I227" s="14"/>
    </row>
    <row r="228" spans="9:9" ht="12.5">
      <c r="I228" s="14"/>
    </row>
    <row r="229" spans="9:9" ht="12.5">
      <c r="I229" s="14"/>
    </row>
    <row r="230" spans="9:9" ht="12.5">
      <c r="I230" s="14"/>
    </row>
    <row r="231" spans="9:9" ht="12.5">
      <c r="I231" s="14"/>
    </row>
    <row r="232" spans="9:9" ht="12.5">
      <c r="I232" s="14"/>
    </row>
    <row r="233" spans="9:9" ht="12.5">
      <c r="I233" s="14"/>
    </row>
    <row r="234" spans="9:9" ht="12.5">
      <c r="I234" s="14"/>
    </row>
    <row r="235" spans="9:9" ht="12.5">
      <c r="I235" s="14"/>
    </row>
    <row r="236" spans="9:9" ht="12.5">
      <c r="I236" s="14"/>
    </row>
    <row r="237" spans="9:9" ht="12.5">
      <c r="I237" s="14"/>
    </row>
    <row r="238" spans="9:9" ht="12.5">
      <c r="I238" s="14"/>
    </row>
    <row r="239" spans="9:9" ht="12.5">
      <c r="I239" s="14"/>
    </row>
    <row r="240" spans="9:9" ht="12.5">
      <c r="I240" s="14"/>
    </row>
    <row r="241" spans="9:9" ht="12.5">
      <c r="I241" s="14"/>
    </row>
    <row r="242" spans="9:9" ht="12.5">
      <c r="I242" s="14"/>
    </row>
    <row r="243" spans="9:9" ht="12.5">
      <c r="I243" s="14"/>
    </row>
    <row r="244" spans="9:9" ht="12.5">
      <c r="I244" s="14"/>
    </row>
    <row r="245" spans="9:9" ht="12.5">
      <c r="I245" s="14"/>
    </row>
    <row r="246" spans="9:9" ht="12.5">
      <c r="I246" s="14"/>
    </row>
    <row r="247" spans="9:9" ht="12.5">
      <c r="I247" s="14"/>
    </row>
    <row r="248" spans="9:9" ht="12.5">
      <c r="I248" s="14"/>
    </row>
    <row r="249" spans="9:9" ht="12.5">
      <c r="I249" s="14"/>
    </row>
    <row r="250" spans="9:9" ht="12.5">
      <c r="I250" s="14"/>
    </row>
    <row r="251" spans="9:9" ht="12.5">
      <c r="I251" s="14"/>
    </row>
    <row r="252" spans="9:9" ht="12.5">
      <c r="I252" s="14"/>
    </row>
    <row r="253" spans="9:9" ht="12.5">
      <c r="I253" s="14"/>
    </row>
    <row r="254" spans="9:9" ht="12.5">
      <c r="I254" s="14"/>
    </row>
    <row r="255" spans="9:9" ht="12.5">
      <c r="I255" s="14"/>
    </row>
    <row r="256" spans="9:9" ht="12.5">
      <c r="I256" s="14"/>
    </row>
    <row r="257" spans="9:9" ht="12.5">
      <c r="I257" s="14"/>
    </row>
    <row r="258" spans="9:9" ht="12.5">
      <c r="I258" s="14"/>
    </row>
    <row r="259" spans="9:9" ht="12.5">
      <c r="I259" s="14"/>
    </row>
    <row r="260" spans="9:9" ht="12.5">
      <c r="I260" s="14"/>
    </row>
    <row r="261" spans="9:9" ht="12.5">
      <c r="I261" s="14"/>
    </row>
    <row r="262" spans="9:9" ht="12.5">
      <c r="I262" s="14"/>
    </row>
    <row r="263" spans="9:9" ht="12.5">
      <c r="I263" s="14"/>
    </row>
    <row r="264" spans="9:9" ht="12.5">
      <c r="I264" s="14"/>
    </row>
    <row r="265" spans="9:9" ht="12.5">
      <c r="I265" s="14"/>
    </row>
    <row r="266" spans="9:9" ht="12.5">
      <c r="I266" s="14"/>
    </row>
    <row r="267" spans="9:9" ht="12.5">
      <c r="I267" s="14"/>
    </row>
    <row r="268" spans="9:9" ht="12.5">
      <c r="I268" s="14"/>
    </row>
    <row r="269" spans="9:9" ht="12.5">
      <c r="I269" s="14"/>
    </row>
    <row r="270" spans="9:9" ht="12.5">
      <c r="I270" s="14"/>
    </row>
    <row r="271" spans="9:9" ht="12.5">
      <c r="I271" s="14"/>
    </row>
    <row r="272" spans="9:9" ht="12.5">
      <c r="I272" s="14"/>
    </row>
    <row r="273" spans="9:9" ht="12.5">
      <c r="I273" s="14"/>
    </row>
    <row r="274" spans="9:9" ht="12.5">
      <c r="I274" s="14"/>
    </row>
    <row r="275" spans="9:9" ht="12.5">
      <c r="I275" s="14"/>
    </row>
    <row r="276" spans="9:9" ht="12.5">
      <c r="I276" s="14"/>
    </row>
    <row r="277" spans="9:9" ht="12.5">
      <c r="I277" s="14"/>
    </row>
    <row r="278" spans="9:9" ht="12.5">
      <c r="I278" s="14"/>
    </row>
    <row r="279" spans="9:9" ht="12.5">
      <c r="I279" s="14"/>
    </row>
    <row r="280" spans="9:9" ht="12.5">
      <c r="I280" s="14"/>
    </row>
    <row r="281" spans="9:9" ht="12.5">
      <c r="I281" s="14"/>
    </row>
    <row r="282" spans="9:9" ht="12.5">
      <c r="I282" s="14"/>
    </row>
    <row r="283" spans="9:9" ht="12.5">
      <c r="I283" s="14"/>
    </row>
    <row r="284" spans="9:9" ht="12.5">
      <c r="I284" s="14"/>
    </row>
    <row r="285" spans="9:9" ht="12.5">
      <c r="I285" s="14"/>
    </row>
    <row r="286" spans="9:9" ht="12.5">
      <c r="I286" s="14"/>
    </row>
    <row r="287" spans="9:9" ht="12.5">
      <c r="I287" s="14"/>
    </row>
    <row r="288" spans="9:9" ht="12.5">
      <c r="I288" s="14"/>
    </row>
    <row r="289" spans="9:9" ht="12.5">
      <c r="I289" s="14"/>
    </row>
    <row r="290" spans="9:9" ht="12.5">
      <c r="I290" s="14"/>
    </row>
    <row r="291" spans="9:9" ht="12.5">
      <c r="I291" s="14"/>
    </row>
    <row r="292" spans="9:9" ht="12.5">
      <c r="I292" s="14"/>
    </row>
    <row r="293" spans="9:9" ht="12.5">
      <c r="I293" s="14"/>
    </row>
    <row r="294" spans="9:9" ht="12.5">
      <c r="I294" s="14"/>
    </row>
    <row r="295" spans="9:9" ht="12.5">
      <c r="I295" s="14"/>
    </row>
    <row r="296" spans="9:9" ht="12.5">
      <c r="I296" s="14"/>
    </row>
    <row r="297" spans="9:9" ht="12.5">
      <c r="I297" s="14"/>
    </row>
    <row r="298" spans="9:9" ht="12.5">
      <c r="I298" s="14"/>
    </row>
    <row r="299" spans="9:9" ht="12.5">
      <c r="I299" s="14"/>
    </row>
    <row r="300" spans="9:9" ht="12.5">
      <c r="I300" s="14"/>
    </row>
    <row r="301" spans="9:9" ht="12.5">
      <c r="I301" s="14"/>
    </row>
    <row r="302" spans="9:9" ht="12.5">
      <c r="I302" s="14"/>
    </row>
    <row r="303" spans="9:9" ht="12.5">
      <c r="I303" s="14"/>
    </row>
    <row r="304" spans="9:9" ht="12.5">
      <c r="I304" s="14"/>
    </row>
    <row r="305" spans="9:9" ht="12.5">
      <c r="I305" s="14"/>
    </row>
    <row r="306" spans="9:9" ht="12.5">
      <c r="I306" s="14"/>
    </row>
    <row r="307" spans="9:9" ht="12.5">
      <c r="I307" s="14"/>
    </row>
    <row r="308" spans="9:9" ht="12.5">
      <c r="I308" s="14"/>
    </row>
    <row r="309" spans="9:9" ht="12.5">
      <c r="I309" s="14"/>
    </row>
    <row r="310" spans="9:9" ht="12.5">
      <c r="I310" s="14"/>
    </row>
    <row r="311" spans="9:9" ht="12.5">
      <c r="I311" s="14"/>
    </row>
    <row r="312" spans="9:9" ht="12.5">
      <c r="I312" s="14"/>
    </row>
    <row r="313" spans="9:9" ht="12.5">
      <c r="I313" s="14"/>
    </row>
    <row r="314" spans="9:9" ht="12.5">
      <c r="I314" s="14"/>
    </row>
    <row r="315" spans="9:9" ht="12.5">
      <c r="I315" s="14"/>
    </row>
    <row r="316" spans="9:9" ht="12.5">
      <c r="I316" s="14"/>
    </row>
    <row r="317" spans="9:9" ht="12.5">
      <c r="I317" s="14"/>
    </row>
    <row r="318" spans="9:9" ht="12.5">
      <c r="I318" s="14"/>
    </row>
    <row r="319" spans="9:9" ht="12.5">
      <c r="I319" s="14"/>
    </row>
    <row r="320" spans="9:9" ht="12.5">
      <c r="I320" s="14"/>
    </row>
    <row r="321" spans="9:9" ht="12.5">
      <c r="I321" s="14"/>
    </row>
    <row r="322" spans="9:9" ht="12.5">
      <c r="I322" s="14"/>
    </row>
    <row r="323" spans="9:9" ht="12.5">
      <c r="I323" s="14"/>
    </row>
    <row r="324" spans="9:9" ht="12.5">
      <c r="I324" s="14"/>
    </row>
    <row r="325" spans="9:9" ht="12.5">
      <c r="I325" s="14"/>
    </row>
    <row r="326" spans="9:9" ht="12.5">
      <c r="I326" s="14"/>
    </row>
    <row r="327" spans="9:9" ht="12.5">
      <c r="I327" s="14"/>
    </row>
    <row r="328" spans="9:9" ht="12.5">
      <c r="I328" s="14"/>
    </row>
    <row r="329" spans="9:9" ht="12.5">
      <c r="I329" s="14"/>
    </row>
    <row r="330" spans="9:9" ht="12.5">
      <c r="I330" s="14"/>
    </row>
    <row r="331" spans="9:9" ht="12.5">
      <c r="I331" s="14"/>
    </row>
    <row r="332" spans="9:9" ht="12.5">
      <c r="I332" s="14"/>
    </row>
    <row r="333" spans="9:9" ht="12.5">
      <c r="I333" s="14"/>
    </row>
    <row r="334" spans="9:9" ht="12.5">
      <c r="I334" s="14"/>
    </row>
    <row r="335" spans="9:9" ht="12.5">
      <c r="I335" s="14"/>
    </row>
    <row r="336" spans="9:9" ht="12.5">
      <c r="I336" s="14"/>
    </row>
    <row r="337" spans="9:9" ht="12.5">
      <c r="I337" s="14"/>
    </row>
    <row r="338" spans="9:9" ht="12.5">
      <c r="I338" s="14"/>
    </row>
    <row r="339" spans="9:9" ht="12.5">
      <c r="I339" s="14"/>
    </row>
    <row r="340" spans="9:9" ht="12.5">
      <c r="I340" s="14"/>
    </row>
    <row r="341" spans="9:9" ht="12.5">
      <c r="I341" s="14"/>
    </row>
    <row r="342" spans="9:9" ht="12.5">
      <c r="I342" s="14"/>
    </row>
    <row r="343" spans="9:9" ht="12.5">
      <c r="I343" s="14"/>
    </row>
    <row r="344" spans="9:9" ht="12.5">
      <c r="I344" s="14"/>
    </row>
    <row r="345" spans="9:9" ht="12.5">
      <c r="I345" s="14"/>
    </row>
    <row r="346" spans="9:9" ht="12.5">
      <c r="I346" s="14"/>
    </row>
    <row r="347" spans="9:9" ht="12.5">
      <c r="I347" s="14"/>
    </row>
    <row r="348" spans="9:9" ht="12.5">
      <c r="I348" s="14"/>
    </row>
    <row r="349" spans="9:9" ht="12.5">
      <c r="I349" s="14"/>
    </row>
    <row r="350" spans="9:9" ht="12.5">
      <c r="I350" s="14"/>
    </row>
    <row r="351" spans="9:9" ht="12.5">
      <c r="I351" s="14"/>
    </row>
    <row r="352" spans="9:9" ht="12.5">
      <c r="I352" s="14"/>
    </row>
    <row r="353" spans="9:9" ht="12.5">
      <c r="I353" s="14"/>
    </row>
    <row r="354" spans="9:9" ht="12.5">
      <c r="I354" s="14"/>
    </row>
    <row r="355" spans="9:9" ht="12.5">
      <c r="I355" s="14"/>
    </row>
    <row r="356" spans="9:9" ht="12.5">
      <c r="I356" s="14"/>
    </row>
    <row r="357" spans="9:9" ht="12.5">
      <c r="I357" s="14"/>
    </row>
    <row r="358" spans="9:9" ht="12.5">
      <c r="I358" s="14"/>
    </row>
    <row r="359" spans="9:9" ht="12.5">
      <c r="I359" s="14"/>
    </row>
    <row r="360" spans="9:9" ht="12.5">
      <c r="I360" s="14"/>
    </row>
    <row r="361" spans="9:9" ht="12.5">
      <c r="I361" s="14"/>
    </row>
    <row r="362" spans="9:9" ht="12.5">
      <c r="I362" s="14"/>
    </row>
    <row r="363" spans="9:9" ht="12.5">
      <c r="I363" s="14"/>
    </row>
    <row r="364" spans="9:9" ht="12.5">
      <c r="I364" s="14"/>
    </row>
    <row r="365" spans="9:9" ht="12.5">
      <c r="I365" s="14"/>
    </row>
    <row r="366" spans="9:9" ht="12.5">
      <c r="I366" s="14"/>
    </row>
    <row r="367" spans="9:9" ht="12.5">
      <c r="I367" s="14"/>
    </row>
    <row r="368" spans="9:9" ht="12.5">
      <c r="I368" s="14"/>
    </row>
    <row r="369" spans="9:9" ht="12.5">
      <c r="I369" s="14"/>
    </row>
    <row r="370" spans="9:9" ht="12.5">
      <c r="I370" s="14"/>
    </row>
    <row r="371" spans="9:9" ht="12.5">
      <c r="I371" s="14"/>
    </row>
    <row r="372" spans="9:9" ht="12.5">
      <c r="I372" s="14"/>
    </row>
    <row r="373" spans="9:9" ht="12.5">
      <c r="I373" s="14"/>
    </row>
    <row r="374" spans="9:9" ht="12.5">
      <c r="I374" s="14"/>
    </row>
    <row r="375" spans="9:9" ht="12.5">
      <c r="I375" s="14"/>
    </row>
    <row r="376" spans="9:9" ht="12.5">
      <c r="I376" s="14"/>
    </row>
    <row r="377" spans="9:9" ht="12.5">
      <c r="I377" s="14"/>
    </row>
    <row r="378" spans="9:9" ht="12.5">
      <c r="I378" s="14"/>
    </row>
    <row r="379" spans="9:9" ht="12.5">
      <c r="I379" s="14"/>
    </row>
    <row r="380" spans="9:9" ht="12.5">
      <c r="I380" s="14"/>
    </row>
    <row r="381" spans="9:9" ht="12.5">
      <c r="I381" s="14"/>
    </row>
    <row r="382" spans="9:9" ht="12.5">
      <c r="I382" s="14"/>
    </row>
    <row r="383" spans="9:9" ht="12.5">
      <c r="I383" s="14"/>
    </row>
    <row r="384" spans="9:9" ht="12.5">
      <c r="I384" s="14"/>
    </row>
    <row r="385" spans="9:9" ht="12.5">
      <c r="I385" s="14"/>
    </row>
    <row r="386" spans="9:9" ht="12.5">
      <c r="I386" s="14"/>
    </row>
    <row r="387" spans="9:9" ht="12.5">
      <c r="I387" s="14"/>
    </row>
    <row r="388" spans="9:9" ht="12.5">
      <c r="I388" s="14"/>
    </row>
    <row r="389" spans="9:9" ht="12.5">
      <c r="I389" s="14"/>
    </row>
    <row r="390" spans="9:9" ht="12.5">
      <c r="I390" s="14"/>
    </row>
    <row r="391" spans="9:9" ht="12.5">
      <c r="I391" s="14"/>
    </row>
    <row r="392" spans="9:9" ht="12.5">
      <c r="I392" s="14"/>
    </row>
    <row r="393" spans="9:9" ht="12.5">
      <c r="I393" s="14"/>
    </row>
    <row r="394" spans="9:9" ht="12.5">
      <c r="I394" s="14"/>
    </row>
    <row r="395" spans="9:9" ht="12.5">
      <c r="I395" s="14"/>
    </row>
    <row r="396" spans="9:9" ht="12.5">
      <c r="I396" s="14"/>
    </row>
    <row r="397" spans="9:9" ht="12.5">
      <c r="I397" s="14"/>
    </row>
    <row r="398" spans="9:9" ht="12.5">
      <c r="I398" s="14"/>
    </row>
    <row r="399" spans="9:9" ht="12.5">
      <c r="I399" s="14"/>
    </row>
    <row r="400" spans="9:9" ht="12.5">
      <c r="I400" s="14"/>
    </row>
    <row r="401" spans="9:9" ht="12.5">
      <c r="I401" s="14"/>
    </row>
    <row r="402" spans="9:9" ht="12.5">
      <c r="I402" s="14"/>
    </row>
    <row r="403" spans="9:9" ht="12.5">
      <c r="I403" s="14"/>
    </row>
    <row r="404" spans="9:9" ht="12.5">
      <c r="I404" s="14"/>
    </row>
    <row r="405" spans="9:9" ht="12.5">
      <c r="I405" s="14"/>
    </row>
    <row r="406" spans="9:9" ht="12.5">
      <c r="I406" s="14"/>
    </row>
    <row r="407" spans="9:9" ht="12.5">
      <c r="I407" s="14"/>
    </row>
    <row r="408" spans="9:9" ht="12.5">
      <c r="I408" s="14"/>
    </row>
    <row r="409" spans="9:9" ht="12.5">
      <c r="I409" s="14"/>
    </row>
    <row r="410" spans="9:9" ht="12.5">
      <c r="I410" s="14"/>
    </row>
    <row r="411" spans="9:9" ht="12.5">
      <c r="I411" s="14"/>
    </row>
    <row r="412" spans="9:9" ht="12.5">
      <c r="I412" s="14"/>
    </row>
    <row r="413" spans="9:9" ht="12.5">
      <c r="I413" s="14"/>
    </row>
    <row r="414" spans="9:9" ht="12.5">
      <c r="I414" s="14"/>
    </row>
    <row r="415" spans="9:9" ht="12.5">
      <c r="I415" s="14"/>
    </row>
    <row r="416" spans="9:9" ht="12.5">
      <c r="I416" s="14"/>
    </row>
    <row r="417" spans="9:9" ht="12.5">
      <c r="I417" s="14"/>
    </row>
    <row r="418" spans="9:9" ht="12.5">
      <c r="I418" s="14"/>
    </row>
    <row r="419" spans="9:9" ht="12.5">
      <c r="I419" s="14"/>
    </row>
    <row r="420" spans="9:9" ht="12.5">
      <c r="I420" s="14"/>
    </row>
    <row r="421" spans="9:9" ht="12.5">
      <c r="I421" s="14"/>
    </row>
    <row r="422" spans="9:9" ht="12.5">
      <c r="I422" s="14"/>
    </row>
    <row r="423" spans="9:9" ht="12.5">
      <c r="I423" s="14"/>
    </row>
    <row r="424" spans="9:9" ht="12.5">
      <c r="I424" s="14"/>
    </row>
    <row r="425" spans="9:9" ht="12.5">
      <c r="I425" s="14"/>
    </row>
    <row r="426" spans="9:9" ht="12.5">
      <c r="I426" s="14"/>
    </row>
    <row r="427" spans="9:9" ht="12.5">
      <c r="I427" s="14"/>
    </row>
    <row r="428" spans="9:9" ht="12.5">
      <c r="I428" s="14"/>
    </row>
    <row r="429" spans="9:9" ht="12.5">
      <c r="I429" s="14"/>
    </row>
    <row r="430" spans="9:9" ht="12.5">
      <c r="I430" s="14"/>
    </row>
    <row r="431" spans="9:9" ht="12.5">
      <c r="I431" s="14"/>
    </row>
    <row r="432" spans="9:9" ht="12.5">
      <c r="I432" s="14"/>
    </row>
    <row r="433" spans="9:9" ht="12.5">
      <c r="I433" s="14"/>
    </row>
    <row r="434" spans="9:9" ht="12.5">
      <c r="I434" s="14"/>
    </row>
    <row r="435" spans="9:9" ht="12.5">
      <c r="I435" s="14"/>
    </row>
    <row r="436" spans="9:9" ht="12.5">
      <c r="I436" s="14"/>
    </row>
    <row r="437" spans="9:9" ht="12.5">
      <c r="I437" s="14"/>
    </row>
    <row r="438" spans="9:9" ht="12.5">
      <c r="I438" s="14"/>
    </row>
    <row r="439" spans="9:9" ht="12.5">
      <c r="I439" s="14"/>
    </row>
    <row r="440" spans="9:9" ht="12.5">
      <c r="I440" s="14"/>
    </row>
    <row r="441" spans="9:9" ht="12.5">
      <c r="I441" s="14"/>
    </row>
    <row r="442" spans="9:9" ht="12.5">
      <c r="I442" s="14"/>
    </row>
    <row r="443" spans="9:9" ht="12.5">
      <c r="I443" s="14"/>
    </row>
    <row r="444" spans="9:9" ht="12.5">
      <c r="I444" s="14"/>
    </row>
    <row r="445" spans="9:9" ht="12.5">
      <c r="I445" s="14"/>
    </row>
    <row r="446" spans="9:9" ht="12.5">
      <c r="I446" s="14"/>
    </row>
    <row r="447" spans="9:9" ht="12.5">
      <c r="I447" s="14"/>
    </row>
    <row r="448" spans="9:9" ht="12.5">
      <c r="I448" s="14"/>
    </row>
    <row r="449" spans="9:9" ht="12.5">
      <c r="I449" s="14"/>
    </row>
    <row r="450" spans="9:9" ht="12.5">
      <c r="I450" s="14"/>
    </row>
    <row r="451" spans="9:9" ht="12.5">
      <c r="I451" s="14"/>
    </row>
    <row r="452" spans="9:9" ht="12.5">
      <c r="I452" s="14"/>
    </row>
    <row r="453" spans="9:9" ht="12.5">
      <c r="I453" s="14"/>
    </row>
    <row r="454" spans="9:9" ht="12.5">
      <c r="I454" s="14"/>
    </row>
    <row r="455" spans="9:9" ht="12.5">
      <c r="I455" s="14"/>
    </row>
    <row r="456" spans="9:9" ht="12.5">
      <c r="I456" s="14"/>
    </row>
    <row r="457" spans="9:9" ht="12.5">
      <c r="I457" s="14"/>
    </row>
    <row r="458" spans="9:9" ht="12.5">
      <c r="I458" s="14"/>
    </row>
    <row r="459" spans="9:9" ht="12.5">
      <c r="I459" s="14"/>
    </row>
    <row r="460" spans="9:9" ht="12.5">
      <c r="I460" s="14"/>
    </row>
    <row r="461" spans="9:9" ht="12.5">
      <c r="I461" s="14"/>
    </row>
    <row r="462" spans="9:9" ht="12.5">
      <c r="I462" s="14"/>
    </row>
    <row r="463" spans="9:9" ht="12.5">
      <c r="I463" s="14"/>
    </row>
    <row r="464" spans="9:9" ht="12.5">
      <c r="I464" s="14"/>
    </row>
    <row r="465" spans="9:9" ht="12.5">
      <c r="I465" s="14"/>
    </row>
    <row r="466" spans="9:9" ht="12.5">
      <c r="I466" s="14"/>
    </row>
    <row r="467" spans="9:9" ht="12.5">
      <c r="I467" s="14"/>
    </row>
    <row r="468" spans="9:9" ht="12.5">
      <c r="I468" s="14"/>
    </row>
    <row r="469" spans="9:9" ht="12.5">
      <c r="I469" s="14"/>
    </row>
    <row r="470" spans="9:9" ht="12.5">
      <c r="I470" s="14"/>
    </row>
    <row r="471" spans="9:9" ht="12.5">
      <c r="I471" s="14"/>
    </row>
    <row r="472" spans="9:9" ht="12.5">
      <c r="I472" s="14"/>
    </row>
    <row r="473" spans="9:9" ht="12.5">
      <c r="I473" s="14"/>
    </row>
    <row r="474" spans="9:9" ht="12.5">
      <c r="I474" s="14"/>
    </row>
    <row r="475" spans="9:9" ht="12.5">
      <c r="I475" s="14"/>
    </row>
    <row r="476" spans="9:9" ht="12.5">
      <c r="I476" s="14"/>
    </row>
    <row r="477" spans="9:9" ht="12.5">
      <c r="I477" s="14"/>
    </row>
    <row r="478" spans="9:9" ht="12.5">
      <c r="I478" s="14"/>
    </row>
    <row r="479" spans="9:9" ht="12.5">
      <c r="I479" s="14"/>
    </row>
    <row r="480" spans="9:9" ht="12.5">
      <c r="I480" s="14"/>
    </row>
    <row r="481" spans="9:9" ht="12.5">
      <c r="I481" s="14"/>
    </row>
    <row r="482" spans="9:9" ht="12.5">
      <c r="I482" s="14"/>
    </row>
    <row r="483" spans="9:9" ht="12.5">
      <c r="I483" s="14"/>
    </row>
    <row r="484" spans="9:9" ht="12.5">
      <c r="I484" s="14"/>
    </row>
    <row r="485" spans="9:9" ht="12.5">
      <c r="I485" s="14"/>
    </row>
    <row r="486" spans="9:9" ht="12.5">
      <c r="I486" s="14"/>
    </row>
    <row r="487" spans="9:9" ht="12.5">
      <c r="I487" s="14"/>
    </row>
    <row r="488" spans="9:9" ht="12.5">
      <c r="I488" s="14"/>
    </row>
    <row r="489" spans="9:9" ht="12.5">
      <c r="I489" s="14"/>
    </row>
    <row r="490" spans="9:9" ht="12.5">
      <c r="I490" s="14"/>
    </row>
    <row r="491" spans="9:9" ht="12.5">
      <c r="I491" s="14"/>
    </row>
    <row r="492" spans="9:9" ht="12.5">
      <c r="I492" s="14"/>
    </row>
    <row r="493" spans="9:9" ht="12.5">
      <c r="I493" s="14"/>
    </row>
    <row r="494" spans="9:9" ht="12.5">
      <c r="I494" s="14"/>
    </row>
    <row r="495" spans="9:9" ht="12.5">
      <c r="I495" s="14"/>
    </row>
    <row r="496" spans="9:9" ht="12.5">
      <c r="I496" s="14"/>
    </row>
    <row r="497" spans="9:9" ht="12.5">
      <c r="I497" s="14"/>
    </row>
    <row r="498" spans="9:9" ht="12.5">
      <c r="I498" s="14"/>
    </row>
    <row r="499" spans="9:9" ht="12.5">
      <c r="I499" s="14"/>
    </row>
    <row r="500" spans="9:9" ht="12.5">
      <c r="I500" s="14"/>
    </row>
    <row r="501" spans="9:9" ht="12.5">
      <c r="I501" s="14"/>
    </row>
    <row r="502" spans="9:9" ht="12.5">
      <c r="I502" s="14"/>
    </row>
    <row r="503" spans="9:9" ht="12.5">
      <c r="I503" s="14"/>
    </row>
    <row r="504" spans="9:9" ht="12.5">
      <c r="I504" s="14"/>
    </row>
    <row r="505" spans="9:9" ht="12.5">
      <c r="I505" s="14"/>
    </row>
    <row r="506" spans="9:9" ht="12.5">
      <c r="I506" s="14"/>
    </row>
    <row r="507" spans="9:9" ht="12.5">
      <c r="I507" s="14"/>
    </row>
    <row r="508" spans="9:9" ht="12.5">
      <c r="I508" s="14"/>
    </row>
    <row r="509" spans="9:9" ht="12.5">
      <c r="I509" s="14"/>
    </row>
    <row r="510" spans="9:9" ht="12.5">
      <c r="I510" s="14"/>
    </row>
    <row r="511" spans="9:9" ht="12.5">
      <c r="I511" s="14"/>
    </row>
    <row r="512" spans="9:9" ht="12.5">
      <c r="I512" s="14"/>
    </row>
    <row r="513" spans="9:9" ht="12.5">
      <c r="I513" s="14"/>
    </row>
    <row r="514" spans="9:9" ht="12.5">
      <c r="I514" s="14"/>
    </row>
    <row r="515" spans="9:9" ht="12.5">
      <c r="I515" s="14"/>
    </row>
    <row r="516" spans="9:9" ht="12.5">
      <c r="I516" s="14"/>
    </row>
    <row r="517" spans="9:9" ht="12.5">
      <c r="I517" s="14"/>
    </row>
    <row r="518" spans="9:9" ht="12.5">
      <c r="I518" s="14"/>
    </row>
    <row r="519" spans="9:9" ht="12.5">
      <c r="I519" s="14"/>
    </row>
    <row r="520" spans="9:9" ht="12.5">
      <c r="I520" s="14"/>
    </row>
    <row r="521" spans="9:9" ht="12.5">
      <c r="I521" s="14"/>
    </row>
    <row r="522" spans="9:9" ht="12.5">
      <c r="I522" s="14"/>
    </row>
    <row r="523" spans="9:9" ht="12.5">
      <c r="I523" s="14"/>
    </row>
    <row r="524" spans="9:9" ht="12.5">
      <c r="I524" s="14"/>
    </row>
    <row r="525" spans="9:9" ht="12.5">
      <c r="I525" s="14"/>
    </row>
    <row r="526" spans="9:9" ht="12.5">
      <c r="I526" s="14"/>
    </row>
    <row r="527" spans="9:9" ht="12.5">
      <c r="I527" s="14"/>
    </row>
    <row r="528" spans="9:9" ht="12.5">
      <c r="I528" s="14"/>
    </row>
    <row r="529" spans="9:9" ht="12.5">
      <c r="I529" s="14"/>
    </row>
    <row r="530" spans="9:9" ht="12.5">
      <c r="I530" s="14"/>
    </row>
    <row r="531" spans="9:9" ht="12.5">
      <c r="I531" s="14"/>
    </row>
    <row r="532" spans="9:9" ht="12.5">
      <c r="I532" s="14"/>
    </row>
    <row r="533" spans="9:9" ht="12.5">
      <c r="I533" s="14"/>
    </row>
    <row r="534" spans="9:9" ht="12.5">
      <c r="I534" s="14"/>
    </row>
    <row r="535" spans="9:9" ht="12.5">
      <c r="I535" s="14"/>
    </row>
    <row r="536" spans="9:9" ht="12.5">
      <c r="I536" s="14"/>
    </row>
    <row r="537" spans="9:9" ht="12.5">
      <c r="I537" s="14"/>
    </row>
    <row r="538" spans="9:9" ht="12.5">
      <c r="I538" s="14"/>
    </row>
    <row r="539" spans="9:9" ht="12.5">
      <c r="I539" s="14"/>
    </row>
    <row r="540" spans="9:9" ht="12.5">
      <c r="I540" s="14"/>
    </row>
    <row r="541" spans="9:9" ht="12.5">
      <c r="I541" s="14"/>
    </row>
    <row r="542" spans="9:9" ht="12.5">
      <c r="I542" s="14"/>
    </row>
    <row r="543" spans="9:9" ht="12.5">
      <c r="I543" s="14"/>
    </row>
    <row r="544" spans="9:9" ht="12.5">
      <c r="I544" s="14"/>
    </row>
    <row r="545" spans="9:9" ht="12.5">
      <c r="I545" s="14"/>
    </row>
    <row r="546" spans="9:9" ht="12.5">
      <c r="I546" s="14"/>
    </row>
    <row r="547" spans="9:9" ht="12.5">
      <c r="I547" s="14"/>
    </row>
    <row r="548" spans="9:9" ht="12.5">
      <c r="I548" s="14"/>
    </row>
    <row r="549" spans="9:9" ht="12.5">
      <c r="I549" s="14"/>
    </row>
    <row r="550" spans="9:9" ht="12.5">
      <c r="I550" s="14"/>
    </row>
    <row r="551" spans="9:9" ht="12.5">
      <c r="I551" s="14"/>
    </row>
    <row r="552" spans="9:9" ht="12.5">
      <c r="I552" s="14"/>
    </row>
    <row r="553" spans="9:9" ht="12.5">
      <c r="I553" s="14"/>
    </row>
    <row r="554" spans="9:9" ht="12.5">
      <c r="I554" s="14"/>
    </row>
    <row r="555" spans="9:9" ht="12.5">
      <c r="I555" s="14"/>
    </row>
    <row r="556" spans="9:9" ht="12.5">
      <c r="I556" s="14"/>
    </row>
    <row r="557" spans="9:9" ht="12.5">
      <c r="I557" s="14"/>
    </row>
    <row r="558" spans="9:9" ht="12.5">
      <c r="I558" s="14"/>
    </row>
    <row r="559" spans="9:9" ht="12.5">
      <c r="I559" s="14"/>
    </row>
    <row r="560" spans="9:9" ht="12.5">
      <c r="I560" s="14"/>
    </row>
    <row r="561" spans="9:9" ht="12.5">
      <c r="I561" s="14"/>
    </row>
    <row r="562" spans="9:9" ht="12.5">
      <c r="I562" s="14"/>
    </row>
    <row r="563" spans="9:9" ht="12.5">
      <c r="I563" s="14"/>
    </row>
    <row r="564" spans="9:9" ht="12.5">
      <c r="I564" s="14"/>
    </row>
    <row r="565" spans="9:9" ht="12.5">
      <c r="I565" s="14"/>
    </row>
    <row r="566" spans="9:9" ht="12.5">
      <c r="I566" s="14"/>
    </row>
    <row r="567" spans="9:9" ht="12.5">
      <c r="I567" s="14"/>
    </row>
    <row r="568" spans="9:9" ht="12.5">
      <c r="I568" s="14"/>
    </row>
    <row r="569" spans="9:9" ht="12.5">
      <c r="I569" s="14"/>
    </row>
    <row r="570" spans="9:9" ht="12.5">
      <c r="I570" s="14"/>
    </row>
    <row r="571" spans="9:9" ht="12.5">
      <c r="I571" s="14"/>
    </row>
    <row r="572" spans="9:9" ht="12.5">
      <c r="I572" s="14"/>
    </row>
    <row r="573" spans="9:9" ht="12.5">
      <c r="I573" s="14"/>
    </row>
    <row r="574" spans="9:9" ht="12.5">
      <c r="I574" s="14"/>
    </row>
    <row r="575" spans="9:9" ht="12.5">
      <c r="I575" s="14"/>
    </row>
    <row r="576" spans="9:9" ht="12.5">
      <c r="I576" s="14"/>
    </row>
    <row r="577" spans="9:9" ht="12.5">
      <c r="I577" s="14"/>
    </row>
    <row r="578" spans="9:9" ht="12.5">
      <c r="I578" s="14"/>
    </row>
    <row r="579" spans="9:9" ht="12.5">
      <c r="I579" s="14"/>
    </row>
    <row r="580" spans="9:9" ht="12.5">
      <c r="I580" s="14"/>
    </row>
    <row r="581" spans="9:9" ht="12.5">
      <c r="I581" s="14"/>
    </row>
    <row r="582" spans="9:9" ht="12.5">
      <c r="I582" s="14"/>
    </row>
    <row r="583" spans="9:9" ht="12.5">
      <c r="I583" s="14"/>
    </row>
    <row r="584" spans="9:9" ht="12.5">
      <c r="I584" s="14"/>
    </row>
    <row r="585" spans="9:9" ht="12.5">
      <c r="I585" s="14"/>
    </row>
    <row r="586" spans="9:9" ht="12.5">
      <c r="I586" s="14"/>
    </row>
    <row r="587" spans="9:9" ht="12.5">
      <c r="I587" s="14"/>
    </row>
    <row r="588" spans="9:9" ht="12.5">
      <c r="I588" s="14"/>
    </row>
    <row r="589" spans="9:9" ht="12.5">
      <c r="I589" s="14"/>
    </row>
    <row r="590" spans="9:9" ht="12.5">
      <c r="I590" s="14"/>
    </row>
    <row r="591" spans="9:9" ht="12.5">
      <c r="I591" s="14"/>
    </row>
    <row r="592" spans="9:9" ht="12.5">
      <c r="I592" s="14"/>
    </row>
    <row r="593" spans="9:9" ht="12.5">
      <c r="I593" s="14"/>
    </row>
    <row r="594" spans="9:9" ht="12.5">
      <c r="I594" s="14"/>
    </row>
    <row r="595" spans="9:9" ht="12.5">
      <c r="I595" s="14"/>
    </row>
    <row r="596" spans="9:9" ht="12.5">
      <c r="I596" s="14"/>
    </row>
    <row r="597" spans="9:9" ht="12.5">
      <c r="I597" s="14"/>
    </row>
    <row r="598" spans="9:9" ht="12.5">
      <c r="I598" s="14"/>
    </row>
    <row r="599" spans="9:9" ht="12.5">
      <c r="I599" s="14"/>
    </row>
    <row r="600" spans="9:9" ht="12.5">
      <c r="I600" s="14"/>
    </row>
    <row r="601" spans="9:9" ht="12.5">
      <c r="I601" s="14"/>
    </row>
    <row r="602" spans="9:9" ht="12.5">
      <c r="I602" s="14"/>
    </row>
    <row r="603" spans="9:9" ht="12.5">
      <c r="I603" s="14"/>
    </row>
    <row r="604" spans="9:9" ht="12.5">
      <c r="I604" s="14"/>
    </row>
    <row r="605" spans="9:9" ht="12.5">
      <c r="I605" s="14"/>
    </row>
    <row r="606" spans="9:9" ht="12.5">
      <c r="I606" s="14"/>
    </row>
    <row r="607" spans="9:9" ht="12.5">
      <c r="I607" s="14"/>
    </row>
    <row r="608" spans="9:9" ht="12.5">
      <c r="I608" s="14"/>
    </row>
    <row r="609" spans="9:9" ht="12.5">
      <c r="I609" s="14"/>
    </row>
    <row r="610" spans="9:9" ht="12.5">
      <c r="I610" s="14"/>
    </row>
    <row r="611" spans="9:9" ht="12.5">
      <c r="I611" s="14"/>
    </row>
    <row r="612" spans="9:9" ht="12.5">
      <c r="I612" s="14"/>
    </row>
    <row r="613" spans="9:9" ht="12.5">
      <c r="I613" s="14"/>
    </row>
    <row r="614" spans="9:9" ht="12.5">
      <c r="I614" s="14"/>
    </row>
    <row r="615" spans="9:9" ht="12.5">
      <c r="I615" s="14"/>
    </row>
    <row r="616" spans="9:9" ht="12.5">
      <c r="I616" s="14"/>
    </row>
    <row r="617" spans="9:9" ht="12.5">
      <c r="I617" s="14"/>
    </row>
    <row r="618" spans="9:9" ht="12.5">
      <c r="I618" s="14"/>
    </row>
    <row r="619" spans="9:9" ht="12.5">
      <c r="I619" s="14"/>
    </row>
    <row r="620" spans="9:9" ht="12.5">
      <c r="I620" s="14"/>
    </row>
    <row r="621" spans="9:9" ht="12.5">
      <c r="I621" s="14"/>
    </row>
    <row r="622" spans="9:9" ht="12.5">
      <c r="I622" s="14"/>
    </row>
    <row r="623" spans="9:9" ht="12.5">
      <c r="I623" s="14"/>
    </row>
    <row r="624" spans="9:9" ht="12.5">
      <c r="I624" s="14"/>
    </row>
    <row r="625" spans="9:9" ht="12.5">
      <c r="I625" s="14"/>
    </row>
    <row r="626" spans="9:9" ht="12.5">
      <c r="I626" s="14"/>
    </row>
    <row r="627" spans="9:9" ht="12.5">
      <c r="I627" s="14"/>
    </row>
    <row r="628" spans="9:9" ht="12.5">
      <c r="I628" s="14"/>
    </row>
    <row r="629" spans="9:9" ht="12.5">
      <c r="I629" s="14"/>
    </row>
    <row r="630" spans="9:9" ht="12.5">
      <c r="I630" s="14"/>
    </row>
    <row r="631" spans="9:9" ht="12.5">
      <c r="I631" s="14"/>
    </row>
    <row r="632" spans="9:9" ht="12.5">
      <c r="I632" s="14"/>
    </row>
    <row r="633" spans="9:9" ht="12.5">
      <c r="I633" s="14"/>
    </row>
    <row r="634" spans="9:9" ht="12.5">
      <c r="I634" s="14"/>
    </row>
    <row r="635" spans="9:9" ht="12.5">
      <c r="I635" s="14"/>
    </row>
    <row r="636" spans="9:9" ht="12.5">
      <c r="I636" s="14"/>
    </row>
    <row r="637" spans="9:9" ht="12.5">
      <c r="I637" s="14"/>
    </row>
    <row r="638" spans="9:9" ht="12.5">
      <c r="I638" s="14"/>
    </row>
    <row r="639" spans="9:9" ht="12.5">
      <c r="I639" s="14"/>
    </row>
    <row r="640" spans="9:9" ht="12.5">
      <c r="I640" s="14"/>
    </row>
    <row r="641" spans="9:9" ht="12.5">
      <c r="I641" s="14"/>
    </row>
    <row r="642" spans="9:9" ht="12.5">
      <c r="I642" s="14"/>
    </row>
    <row r="643" spans="9:9" ht="12.5">
      <c r="I643" s="14"/>
    </row>
    <row r="644" spans="9:9" ht="12.5">
      <c r="I644" s="14"/>
    </row>
    <row r="645" spans="9:9" ht="12.5">
      <c r="I645" s="14"/>
    </row>
    <row r="646" spans="9:9" ht="12.5">
      <c r="I646" s="14"/>
    </row>
    <row r="647" spans="9:9" ht="12.5">
      <c r="I647" s="14"/>
    </row>
    <row r="648" spans="9:9" ht="12.5">
      <c r="I648" s="14"/>
    </row>
    <row r="649" spans="9:9" ht="12.5">
      <c r="I649" s="14"/>
    </row>
    <row r="650" spans="9:9" ht="12.5">
      <c r="I650" s="14"/>
    </row>
    <row r="651" spans="9:9" ht="12.5">
      <c r="I651" s="14"/>
    </row>
    <row r="652" spans="9:9" ht="12.5">
      <c r="I652" s="14"/>
    </row>
    <row r="653" spans="9:9" ht="12.5">
      <c r="I653" s="14"/>
    </row>
    <row r="654" spans="9:9" ht="12.5">
      <c r="I654" s="14"/>
    </row>
    <row r="655" spans="9:9" ht="12.5">
      <c r="I655" s="14"/>
    </row>
    <row r="656" spans="9:9" ht="12.5">
      <c r="I656" s="14"/>
    </row>
    <row r="657" spans="9:9" ht="12.5">
      <c r="I657" s="14"/>
    </row>
    <row r="658" spans="9:9" ht="12.5">
      <c r="I658" s="14"/>
    </row>
    <row r="659" spans="9:9" ht="12.5">
      <c r="I659" s="14"/>
    </row>
    <row r="660" spans="9:9" ht="12.5">
      <c r="I660" s="14"/>
    </row>
    <row r="661" spans="9:9" ht="12.5">
      <c r="I661" s="14"/>
    </row>
    <row r="662" spans="9:9" ht="12.5">
      <c r="I662" s="14"/>
    </row>
    <row r="663" spans="9:9" ht="12.5">
      <c r="I663" s="14"/>
    </row>
    <row r="664" spans="9:9" ht="12.5">
      <c r="I664" s="14"/>
    </row>
    <row r="665" spans="9:9" ht="12.5">
      <c r="I665" s="14"/>
    </row>
    <row r="666" spans="9:9" ht="12.5">
      <c r="I666" s="14"/>
    </row>
    <row r="667" spans="9:9" ht="12.5">
      <c r="I667" s="14"/>
    </row>
    <row r="668" spans="9:9" ht="12.5">
      <c r="I668" s="14"/>
    </row>
    <row r="669" spans="9:9" ht="12.5">
      <c r="I669" s="14"/>
    </row>
    <row r="670" spans="9:9" ht="12.5">
      <c r="I670" s="14"/>
    </row>
    <row r="671" spans="9:9" ht="12.5">
      <c r="I671" s="14"/>
    </row>
    <row r="672" spans="9:9" ht="12.5">
      <c r="I672" s="14"/>
    </row>
    <row r="673" spans="9:9" ht="12.5">
      <c r="I673" s="14"/>
    </row>
    <row r="674" spans="9:9" ht="12.5">
      <c r="I674" s="14"/>
    </row>
    <row r="675" spans="9:9" ht="12.5">
      <c r="I675" s="14"/>
    </row>
    <row r="676" spans="9:9" ht="12.5">
      <c r="I676" s="14"/>
    </row>
    <row r="677" spans="9:9" ht="12.5">
      <c r="I677" s="14"/>
    </row>
    <row r="678" spans="9:9" ht="12.5">
      <c r="I678" s="14"/>
    </row>
    <row r="679" spans="9:9" ht="12.5">
      <c r="I679" s="14"/>
    </row>
    <row r="680" spans="9:9" ht="12.5">
      <c r="I680" s="14"/>
    </row>
    <row r="681" spans="9:9" ht="12.5">
      <c r="I681" s="14"/>
    </row>
    <row r="682" spans="9:9" ht="12.5">
      <c r="I682" s="14"/>
    </row>
    <row r="683" spans="9:9" ht="12.5">
      <c r="I683" s="14"/>
    </row>
    <row r="684" spans="9:9" ht="12.5">
      <c r="I684" s="14"/>
    </row>
    <row r="685" spans="9:9" ht="12.5">
      <c r="I685" s="14"/>
    </row>
    <row r="686" spans="9:9" ht="12.5">
      <c r="I686" s="14"/>
    </row>
    <row r="687" spans="9:9" ht="12.5">
      <c r="I687" s="14"/>
    </row>
    <row r="688" spans="9:9" ht="12.5">
      <c r="I688" s="14"/>
    </row>
    <row r="689" spans="9:9" ht="12.5">
      <c r="I689" s="14"/>
    </row>
    <row r="690" spans="9:9" ht="12.5">
      <c r="I690" s="14"/>
    </row>
    <row r="691" spans="9:9" ht="12.5">
      <c r="I691" s="14"/>
    </row>
    <row r="692" spans="9:9" ht="12.5">
      <c r="I692" s="14"/>
    </row>
    <row r="693" spans="9:9" ht="12.5">
      <c r="I693" s="14"/>
    </row>
    <row r="694" spans="9:9" ht="12.5">
      <c r="I694" s="14"/>
    </row>
    <row r="695" spans="9:9" ht="12.5">
      <c r="I695" s="14"/>
    </row>
    <row r="696" spans="9:9" ht="12.5">
      <c r="I696" s="14"/>
    </row>
    <row r="697" spans="9:9" ht="12.5">
      <c r="I697" s="14"/>
    </row>
    <row r="698" spans="9:9" ht="12.5">
      <c r="I698" s="14"/>
    </row>
    <row r="699" spans="9:9" ht="12.5">
      <c r="I699" s="14"/>
    </row>
    <row r="700" spans="9:9" ht="12.5">
      <c r="I700" s="14"/>
    </row>
    <row r="701" spans="9:9" ht="12.5">
      <c r="I701" s="14"/>
    </row>
    <row r="702" spans="9:9" ht="12.5">
      <c r="I702" s="14"/>
    </row>
    <row r="703" spans="9:9" ht="12.5">
      <c r="I703" s="14"/>
    </row>
    <row r="704" spans="9:9" ht="12.5">
      <c r="I704" s="14"/>
    </row>
    <row r="705" spans="9:9" ht="12.5">
      <c r="I705" s="14"/>
    </row>
    <row r="706" spans="9:9" ht="12.5">
      <c r="I706" s="14"/>
    </row>
    <row r="707" spans="9:9" ht="12.5">
      <c r="I707" s="14"/>
    </row>
    <row r="708" spans="9:9" ht="12.5">
      <c r="I708" s="14"/>
    </row>
    <row r="709" spans="9:9" ht="12.5">
      <c r="I709" s="14"/>
    </row>
    <row r="710" spans="9:9" ht="12.5">
      <c r="I710" s="14"/>
    </row>
    <row r="711" spans="9:9" ht="12.5">
      <c r="I711" s="14"/>
    </row>
    <row r="712" spans="9:9" ht="12.5">
      <c r="I712" s="14"/>
    </row>
    <row r="713" spans="9:9" ht="12.5">
      <c r="I713" s="14"/>
    </row>
    <row r="714" spans="9:9" ht="12.5">
      <c r="I714" s="14"/>
    </row>
    <row r="715" spans="9:9" ht="12.5">
      <c r="I715" s="14"/>
    </row>
    <row r="716" spans="9:9" ht="12.5">
      <c r="I716" s="14"/>
    </row>
    <row r="717" spans="9:9" ht="12.5">
      <c r="I717" s="14"/>
    </row>
    <row r="718" spans="9:9" ht="12.5">
      <c r="I718" s="14"/>
    </row>
    <row r="719" spans="9:9" ht="12.5">
      <c r="I719" s="14"/>
    </row>
    <row r="720" spans="9:9" ht="12.5">
      <c r="I720" s="14"/>
    </row>
    <row r="721" spans="9:9" ht="12.5">
      <c r="I721" s="14"/>
    </row>
    <row r="722" spans="9:9" ht="12.5">
      <c r="I722" s="14"/>
    </row>
    <row r="723" spans="9:9" ht="12.5">
      <c r="I723" s="14"/>
    </row>
    <row r="724" spans="9:9" ht="12.5">
      <c r="I724" s="14"/>
    </row>
    <row r="725" spans="9:9" ht="12.5">
      <c r="I725" s="14"/>
    </row>
    <row r="726" spans="9:9" ht="12.5">
      <c r="I726" s="14"/>
    </row>
    <row r="727" spans="9:9" ht="12.5">
      <c r="I727" s="14"/>
    </row>
    <row r="728" spans="9:9" ht="12.5">
      <c r="I728" s="14"/>
    </row>
    <row r="729" spans="9:9" ht="12.5">
      <c r="I729" s="14"/>
    </row>
    <row r="730" spans="9:9" ht="12.5">
      <c r="I730" s="14"/>
    </row>
    <row r="731" spans="9:9" ht="12.5">
      <c r="I731" s="14"/>
    </row>
    <row r="732" spans="9:9" ht="12.5">
      <c r="I732" s="14"/>
    </row>
    <row r="733" spans="9:9" ht="12.5">
      <c r="I733" s="14"/>
    </row>
    <row r="734" spans="9:9" ht="12.5">
      <c r="I734" s="14"/>
    </row>
    <row r="735" spans="9:9" ht="12.5">
      <c r="I735" s="14"/>
    </row>
    <row r="736" spans="9:9" ht="12.5">
      <c r="I736" s="14"/>
    </row>
    <row r="737" spans="9:9" ht="12.5">
      <c r="I737" s="14"/>
    </row>
    <row r="738" spans="9:9" ht="12.5">
      <c r="I738" s="14"/>
    </row>
    <row r="739" spans="9:9" ht="12.5">
      <c r="I739" s="14"/>
    </row>
    <row r="740" spans="9:9" ht="12.5">
      <c r="I740" s="14"/>
    </row>
    <row r="741" spans="9:9" ht="12.5">
      <c r="I741" s="14"/>
    </row>
    <row r="742" spans="9:9" ht="12.5">
      <c r="I742" s="14"/>
    </row>
    <row r="743" spans="9:9" ht="12.5">
      <c r="I743" s="14"/>
    </row>
    <row r="744" spans="9:9" ht="12.5">
      <c r="I744" s="14"/>
    </row>
    <row r="745" spans="9:9" ht="12.5">
      <c r="I745" s="14"/>
    </row>
    <row r="746" spans="9:9" ht="12.5">
      <c r="I746" s="14"/>
    </row>
    <row r="747" spans="9:9" ht="12.5">
      <c r="I747" s="14"/>
    </row>
    <row r="748" spans="9:9" ht="12.5">
      <c r="I748" s="14"/>
    </row>
    <row r="749" spans="9:9" ht="12.5">
      <c r="I749" s="14"/>
    </row>
    <row r="750" spans="9:9" ht="12.5">
      <c r="I750" s="14"/>
    </row>
    <row r="751" spans="9:9" ht="12.5">
      <c r="I751" s="14"/>
    </row>
    <row r="752" spans="9:9" ht="12.5">
      <c r="I752" s="14"/>
    </row>
    <row r="753" spans="9:9" ht="12.5">
      <c r="I753" s="14"/>
    </row>
    <row r="754" spans="9:9" ht="12.5">
      <c r="I754" s="14"/>
    </row>
    <row r="755" spans="9:9" ht="12.5">
      <c r="I755" s="14"/>
    </row>
    <row r="756" spans="9:9" ht="12.5">
      <c r="I756" s="14"/>
    </row>
    <row r="757" spans="9:9" ht="12.5">
      <c r="I757" s="14"/>
    </row>
    <row r="758" spans="9:9" ht="12.5">
      <c r="I758" s="14"/>
    </row>
    <row r="759" spans="9:9" ht="12.5">
      <c r="I759" s="14"/>
    </row>
    <row r="760" spans="9:9" ht="12.5">
      <c r="I760" s="14"/>
    </row>
    <row r="761" spans="9:9" ht="12.5">
      <c r="I761" s="14"/>
    </row>
    <row r="762" spans="9:9" ht="12.5">
      <c r="I762" s="14"/>
    </row>
    <row r="763" spans="9:9" ht="12.5">
      <c r="I763" s="14"/>
    </row>
    <row r="764" spans="9:9" ht="12.5">
      <c r="I764" s="14"/>
    </row>
    <row r="765" spans="9:9" ht="12.5">
      <c r="I765" s="14"/>
    </row>
    <row r="766" spans="9:9" ht="12.5">
      <c r="I766" s="14"/>
    </row>
    <row r="767" spans="9:9" ht="12.5">
      <c r="I767" s="14"/>
    </row>
    <row r="768" spans="9:9" ht="12.5">
      <c r="I768" s="14"/>
    </row>
    <row r="769" spans="9:9" ht="12.5">
      <c r="I769" s="14"/>
    </row>
    <row r="770" spans="9:9" ht="12.5">
      <c r="I770" s="14"/>
    </row>
    <row r="771" spans="9:9" ht="12.5">
      <c r="I771" s="14"/>
    </row>
    <row r="772" spans="9:9" ht="12.5">
      <c r="I772" s="14"/>
    </row>
    <row r="773" spans="9:9" ht="12.5">
      <c r="I773" s="14"/>
    </row>
    <row r="774" spans="9:9" ht="12.5">
      <c r="I774" s="14"/>
    </row>
    <row r="775" spans="9:9" ht="12.5">
      <c r="I775" s="14"/>
    </row>
    <row r="776" spans="9:9" ht="12.5">
      <c r="I776" s="14"/>
    </row>
    <row r="777" spans="9:9" ht="12.5">
      <c r="I777" s="14"/>
    </row>
    <row r="778" spans="9:9" ht="12.5">
      <c r="I778" s="14"/>
    </row>
    <row r="779" spans="9:9" ht="12.5">
      <c r="I779" s="14"/>
    </row>
    <row r="780" spans="9:9" ht="12.5">
      <c r="I780" s="14"/>
    </row>
    <row r="781" spans="9:9" ht="12.5">
      <c r="I781" s="14"/>
    </row>
    <row r="782" spans="9:9" ht="12.5">
      <c r="I782" s="14"/>
    </row>
    <row r="783" spans="9:9" ht="12.5">
      <c r="I783" s="14"/>
    </row>
    <row r="784" spans="9:9" ht="12.5">
      <c r="I784" s="14"/>
    </row>
    <row r="785" spans="9:9" ht="12.5">
      <c r="I785" s="14"/>
    </row>
    <row r="786" spans="9:9" ht="12.5">
      <c r="I786" s="14"/>
    </row>
    <row r="787" spans="9:9" ht="12.5">
      <c r="I787" s="14"/>
    </row>
    <row r="788" spans="9:9" ht="12.5">
      <c r="I788" s="14"/>
    </row>
    <row r="789" spans="9:9" ht="12.5">
      <c r="I789" s="14"/>
    </row>
    <row r="790" spans="9:9" ht="12.5">
      <c r="I790" s="14"/>
    </row>
    <row r="791" spans="9:9" ht="12.5">
      <c r="I791" s="14"/>
    </row>
    <row r="792" spans="9:9" ht="12.5">
      <c r="I792" s="14"/>
    </row>
    <row r="793" spans="9:9" ht="12.5">
      <c r="I793" s="14"/>
    </row>
    <row r="794" spans="9:9" ht="12.5">
      <c r="I794" s="14"/>
    </row>
    <row r="795" spans="9:9" ht="12.5">
      <c r="I795" s="14"/>
    </row>
    <row r="796" spans="9:9" ht="12.5">
      <c r="I796" s="14"/>
    </row>
    <row r="797" spans="9:9" ht="12.5">
      <c r="I797" s="14"/>
    </row>
    <row r="798" spans="9:9" ht="12.5">
      <c r="I798" s="14"/>
    </row>
    <row r="799" spans="9:9" ht="12.5">
      <c r="I799" s="14"/>
    </row>
    <row r="800" spans="9:9" ht="12.5">
      <c r="I800" s="14"/>
    </row>
    <row r="801" spans="9:9" ht="12.5">
      <c r="I801" s="14"/>
    </row>
    <row r="802" spans="9:9" ht="12.5">
      <c r="I802" s="14"/>
    </row>
    <row r="803" spans="9:9" ht="12.5">
      <c r="I803" s="14"/>
    </row>
    <row r="804" spans="9:9" ht="12.5">
      <c r="I804" s="14"/>
    </row>
    <row r="805" spans="9:9" ht="12.5">
      <c r="I805" s="14"/>
    </row>
    <row r="806" spans="9:9" ht="12.5">
      <c r="I806" s="14"/>
    </row>
    <row r="807" spans="9:9" ht="12.5">
      <c r="I807" s="14"/>
    </row>
    <row r="808" spans="9:9" ht="12.5">
      <c r="I808" s="14"/>
    </row>
    <row r="809" spans="9:9" ht="12.5">
      <c r="I809" s="14"/>
    </row>
    <row r="810" spans="9:9" ht="12.5">
      <c r="I810" s="14"/>
    </row>
    <row r="811" spans="9:9" ht="12.5">
      <c r="I811" s="14"/>
    </row>
    <row r="812" spans="9:9" ht="12.5">
      <c r="I812" s="14"/>
    </row>
    <row r="813" spans="9:9" ht="12.5">
      <c r="I813" s="14"/>
    </row>
    <row r="814" spans="9:9" ht="12.5">
      <c r="I814" s="14"/>
    </row>
    <row r="815" spans="9:9" ht="12.5">
      <c r="I815" s="14"/>
    </row>
    <row r="816" spans="9:9" ht="12.5">
      <c r="I816" s="14"/>
    </row>
    <row r="817" spans="9:9" ht="12.5">
      <c r="I817" s="14"/>
    </row>
    <row r="818" spans="9:9" ht="12.5">
      <c r="I818" s="14"/>
    </row>
    <row r="819" spans="9:9" ht="12.5">
      <c r="I819" s="14"/>
    </row>
    <row r="820" spans="9:9" ht="12.5">
      <c r="I820" s="14"/>
    </row>
    <row r="821" spans="9:9" ht="12.5">
      <c r="I821" s="14"/>
    </row>
    <row r="822" spans="9:9" ht="12.5">
      <c r="I822" s="14"/>
    </row>
    <row r="823" spans="9:9" ht="12.5">
      <c r="I823" s="14"/>
    </row>
    <row r="824" spans="9:9" ht="12.5">
      <c r="I824" s="14"/>
    </row>
    <row r="825" spans="9:9" ht="12.5">
      <c r="I825" s="14"/>
    </row>
    <row r="826" spans="9:9" ht="12.5">
      <c r="I826" s="14"/>
    </row>
    <row r="827" spans="9:9" ht="12.5">
      <c r="I827" s="14"/>
    </row>
    <row r="828" spans="9:9" ht="12.5">
      <c r="I828" s="14"/>
    </row>
    <row r="829" spans="9:9" ht="12.5">
      <c r="I829" s="14"/>
    </row>
    <row r="830" spans="9:9" ht="12.5">
      <c r="I830" s="14"/>
    </row>
    <row r="831" spans="9:9" ht="12.5">
      <c r="I831" s="14"/>
    </row>
    <row r="832" spans="9:9" ht="12.5">
      <c r="I832" s="14"/>
    </row>
    <row r="833" spans="9:9" ht="12.5">
      <c r="I833" s="14"/>
    </row>
    <row r="834" spans="9:9" ht="12.5">
      <c r="I834" s="14"/>
    </row>
    <row r="835" spans="9:9" ht="12.5">
      <c r="I835" s="14"/>
    </row>
    <row r="836" spans="9:9" ht="12.5">
      <c r="I836" s="14"/>
    </row>
    <row r="837" spans="9:9" ht="12.5">
      <c r="I837" s="14"/>
    </row>
    <row r="838" spans="9:9" ht="12.5">
      <c r="I838" s="14"/>
    </row>
    <row r="839" spans="9:9" ht="12.5">
      <c r="I839" s="14"/>
    </row>
    <row r="840" spans="9:9" ht="12.5">
      <c r="I840" s="14"/>
    </row>
    <row r="841" spans="9:9" ht="12.5">
      <c r="I841" s="14"/>
    </row>
    <row r="842" spans="9:9" ht="12.5">
      <c r="I842" s="14"/>
    </row>
    <row r="843" spans="9:9" ht="12.5">
      <c r="I843" s="14"/>
    </row>
    <row r="844" spans="9:9" ht="12.5">
      <c r="I844" s="14"/>
    </row>
    <row r="845" spans="9:9" ht="12.5">
      <c r="I845" s="14"/>
    </row>
    <row r="846" spans="9:9" ht="12.5">
      <c r="I846" s="14"/>
    </row>
    <row r="847" spans="9:9" ht="12.5">
      <c r="I847" s="14"/>
    </row>
    <row r="848" spans="9:9" ht="12.5">
      <c r="I848" s="14"/>
    </row>
    <row r="849" spans="9:9" ht="12.5">
      <c r="I849" s="14"/>
    </row>
    <row r="850" spans="9:9" ht="12.5">
      <c r="I850" s="14"/>
    </row>
    <row r="851" spans="9:9" ht="12.5">
      <c r="I851" s="14"/>
    </row>
    <row r="852" spans="9:9" ht="12.5">
      <c r="I852" s="14"/>
    </row>
    <row r="853" spans="9:9" ht="12.5">
      <c r="I853" s="14"/>
    </row>
    <row r="854" spans="9:9" ht="12.5">
      <c r="I854" s="14"/>
    </row>
    <row r="855" spans="9:9" ht="12.5">
      <c r="I855" s="14"/>
    </row>
    <row r="856" spans="9:9" ht="12.5">
      <c r="I856" s="14"/>
    </row>
    <row r="857" spans="9:9" ht="12.5">
      <c r="I857" s="14"/>
    </row>
    <row r="858" spans="9:9" ht="12.5">
      <c r="I858" s="14"/>
    </row>
    <row r="859" spans="9:9" ht="12.5">
      <c r="I859" s="14"/>
    </row>
    <row r="860" spans="9:9" ht="12.5">
      <c r="I860" s="14"/>
    </row>
    <row r="861" spans="9:9" ht="12.5">
      <c r="I861" s="14"/>
    </row>
    <row r="862" spans="9:9" ht="12.5">
      <c r="I862" s="14"/>
    </row>
    <row r="863" spans="9:9" ht="12.5">
      <c r="I863" s="14"/>
    </row>
    <row r="864" spans="9:9" ht="12.5">
      <c r="I864" s="14"/>
    </row>
    <row r="865" spans="9:9" ht="12.5">
      <c r="I865" s="14"/>
    </row>
    <row r="866" spans="9:9" ht="12.5">
      <c r="I866" s="14"/>
    </row>
    <row r="867" spans="9:9" ht="12.5">
      <c r="I867" s="14"/>
    </row>
    <row r="868" spans="9:9" ht="12.5">
      <c r="I868" s="14"/>
    </row>
    <row r="869" spans="9:9" ht="12.5">
      <c r="I869" s="14"/>
    </row>
    <row r="870" spans="9:9" ht="12.5">
      <c r="I870" s="14"/>
    </row>
    <row r="871" spans="9:9" ht="12.5">
      <c r="I871" s="14"/>
    </row>
    <row r="872" spans="9:9" ht="12.5">
      <c r="I872" s="14"/>
    </row>
    <row r="873" spans="9:9" ht="12.5">
      <c r="I873" s="14"/>
    </row>
    <row r="874" spans="9:9" ht="12.5">
      <c r="I874" s="14"/>
    </row>
    <row r="875" spans="9:9" ht="12.5">
      <c r="I875" s="14"/>
    </row>
    <row r="876" spans="9:9" ht="12.5">
      <c r="I876" s="14"/>
    </row>
    <row r="877" spans="9:9" ht="12.5">
      <c r="I877" s="14"/>
    </row>
    <row r="878" spans="9:9" ht="12.5">
      <c r="I878" s="14"/>
    </row>
    <row r="879" spans="9:9" ht="12.5">
      <c r="I879" s="14"/>
    </row>
    <row r="880" spans="9:9" ht="12.5">
      <c r="I880" s="14"/>
    </row>
    <row r="881" spans="9:9" ht="12.5">
      <c r="I881" s="14"/>
    </row>
    <row r="882" spans="9:9" ht="12.5">
      <c r="I882" s="14"/>
    </row>
    <row r="883" spans="9:9" ht="12.5">
      <c r="I883" s="14"/>
    </row>
    <row r="884" spans="9:9" ht="12.5">
      <c r="I884" s="14"/>
    </row>
    <row r="885" spans="9:9" ht="12.5">
      <c r="I885" s="14"/>
    </row>
    <row r="886" spans="9:9" ht="12.5">
      <c r="I886" s="14"/>
    </row>
    <row r="887" spans="9:9" ht="12.5">
      <c r="I887" s="14"/>
    </row>
    <row r="888" spans="9:9" ht="12.5">
      <c r="I888" s="14"/>
    </row>
    <row r="889" spans="9:9" ht="12.5">
      <c r="I889" s="14"/>
    </row>
    <row r="890" spans="9:9" ht="12.5">
      <c r="I890" s="14"/>
    </row>
    <row r="891" spans="9:9" ht="12.5">
      <c r="I891" s="14"/>
    </row>
    <row r="892" spans="9:9" ht="12.5">
      <c r="I892" s="14"/>
    </row>
    <row r="893" spans="9:9" ht="12.5">
      <c r="I893" s="14"/>
    </row>
    <row r="894" spans="9:9" ht="12.5">
      <c r="I894" s="14"/>
    </row>
    <row r="895" spans="9:9" ht="12.5">
      <c r="I895" s="14"/>
    </row>
    <row r="896" spans="9:9" ht="12.5">
      <c r="I896" s="14"/>
    </row>
    <row r="897" spans="9:9" ht="12.5">
      <c r="I897" s="14"/>
    </row>
    <row r="898" spans="9:9" ht="12.5">
      <c r="I898" s="14"/>
    </row>
    <row r="899" spans="9:9" ht="12.5">
      <c r="I899" s="14"/>
    </row>
    <row r="900" spans="9:9" ht="12.5">
      <c r="I900" s="14"/>
    </row>
    <row r="901" spans="9:9" ht="12.5">
      <c r="I901" s="14"/>
    </row>
    <row r="902" spans="9:9" ht="12.5">
      <c r="I902" s="14"/>
    </row>
    <row r="903" spans="9:9" ht="12.5">
      <c r="I903" s="14"/>
    </row>
    <row r="904" spans="9:9" ht="12.5">
      <c r="I904" s="14"/>
    </row>
    <row r="905" spans="9:9" ht="12.5">
      <c r="I905" s="14"/>
    </row>
    <row r="906" spans="9:9" ht="12.5">
      <c r="I906" s="14"/>
    </row>
    <row r="907" spans="9:9" ht="12.5">
      <c r="I907" s="14"/>
    </row>
    <row r="908" spans="9:9" ht="12.5">
      <c r="I908" s="14"/>
    </row>
    <row r="909" spans="9:9" ht="12.5">
      <c r="I909" s="14"/>
    </row>
    <row r="910" spans="9:9" ht="12.5">
      <c r="I910" s="14"/>
    </row>
    <row r="911" spans="9:9" ht="12.5">
      <c r="I911" s="14"/>
    </row>
    <row r="912" spans="9:9" ht="12.5">
      <c r="I912" s="14"/>
    </row>
    <row r="913" spans="9:9" ht="12.5">
      <c r="I913" s="14"/>
    </row>
    <row r="914" spans="9:9" ht="12.5">
      <c r="I914" s="14"/>
    </row>
    <row r="915" spans="9:9" ht="12.5">
      <c r="I915" s="14"/>
    </row>
    <row r="916" spans="9:9" ht="12.5">
      <c r="I916" s="14"/>
    </row>
    <row r="917" spans="9:9" ht="12.5">
      <c r="I917" s="14"/>
    </row>
    <row r="918" spans="9:9" ht="12.5">
      <c r="I918" s="14"/>
    </row>
    <row r="919" spans="9:9" ht="12.5">
      <c r="I919" s="14"/>
    </row>
    <row r="920" spans="9:9" ht="12.5">
      <c r="I920" s="14"/>
    </row>
    <row r="921" spans="9:9" ht="12.5">
      <c r="I921" s="14"/>
    </row>
    <row r="922" spans="9:9" ht="12.5">
      <c r="I922" s="14"/>
    </row>
    <row r="923" spans="9:9" ht="12.5">
      <c r="I923" s="14"/>
    </row>
    <row r="924" spans="9:9" ht="12.5">
      <c r="I924" s="14"/>
    </row>
    <row r="925" spans="9:9" ht="12.5">
      <c r="I925" s="14"/>
    </row>
    <row r="926" spans="9:9" ht="12.5">
      <c r="I926" s="14"/>
    </row>
    <row r="927" spans="9:9" ht="12.5">
      <c r="I927" s="14"/>
    </row>
    <row r="928" spans="9:9" ht="12.5">
      <c r="I928" s="14"/>
    </row>
    <row r="929" spans="9:9" ht="12.5">
      <c r="I929" s="14"/>
    </row>
    <row r="930" spans="9:9" ht="12.5">
      <c r="I930" s="14"/>
    </row>
    <row r="931" spans="9:9" ht="12.5">
      <c r="I931" s="14"/>
    </row>
    <row r="932" spans="9:9" ht="12.5">
      <c r="I932" s="14"/>
    </row>
    <row r="933" spans="9:9" ht="12.5">
      <c r="I933" s="14"/>
    </row>
    <row r="934" spans="9:9" ht="12.5">
      <c r="I934" s="14"/>
    </row>
    <row r="935" spans="9:9" ht="12.5">
      <c r="I935" s="14"/>
    </row>
    <row r="936" spans="9:9" ht="12.5">
      <c r="I936" s="14"/>
    </row>
    <row r="937" spans="9:9" ht="12.5">
      <c r="I937" s="14"/>
    </row>
    <row r="938" spans="9:9" ht="12.5">
      <c r="I938" s="14"/>
    </row>
    <row r="939" spans="9:9" ht="12.5">
      <c r="I939" s="14"/>
    </row>
    <row r="940" spans="9:9" ht="12.5">
      <c r="I940" s="14"/>
    </row>
    <row r="941" spans="9:9" ht="12.5">
      <c r="I941" s="14"/>
    </row>
    <row r="942" spans="9:9" ht="12.5">
      <c r="I942" s="14"/>
    </row>
    <row r="943" spans="9:9" ht="12.5">
      <c r="I943" s="14"/>
    </row>
    <row r="944" spans="9:9" ht="12.5">
      <c r="I944" s="14"/>
    </row>
    <row r="945" spans="9:9" ht="12.5">
      <c r="I945" s="14"/>
    </row>
    <row r="946" spans="9:9" ht="12.5">
      <c r="I946" s="14"/>
    </row>
    <row r="947" spans="9:9" ht="12.5">
      <c r="I947" s="14"/>
    </row>
    <row r="948" spans="9:9" ht="12.5">
      <c r="I948" s="14"/>
    </row>
    <row r="949" spans="9:9" ht="12.5">
      <c r="I949" s="14"/>
    </row>
    <row r="950" spans="9:9" ht="12.5">
      <c r="I950" s="14"/>
    </row>
    <row r="951" spans="9:9" ht="12.5">
      <c r="I951" s="14"/>
    </row>
    <row r="952" spans="9:9" ht="12.5">
      <c r="I952" s="14"/>
    </row>
    <row r="953" spans="9:9" ht="12.5">
      <c r="I953" s="14"/>
    </row>
    <row r="954" spans="9:9" ht="12.5">
      <c r="I954" s="14"/>
    </row>
    <row r="955" spans="9:9" ht="12.5">
      <c r="I955" s="14"/>
    </row>
    <row r="956" spans="9:9" ht="12.5">
      <c r="I956" s="14"/>
    </row>
    <row r="957" spans="9:9" ht="12.5">
      <c r="I957" s="14"/>
    </row>
    <row r="958" spans="9:9" ht="12.5">
      <c r="I958" s="14"/>
    </row>
    <row r="959" spans="9:9" ht="12.5">
      <c r="I959" s="14"/>
    </row>
    <row r="960" spans="9:9" ht="12.5">
      <c r="I960" s="14"/>
    </row>
    <row r="961" spans="9:9" ht="12.5">
      <c r="I961" s="14"/>
    </row>
    <row r="962" spans="9:9" ht="12.5">
      <c r="I962" s="14"/>
    </row>
    <row r="963" spans="9:9" ht="12.5">
      <c r="I963" s="14"/>
    </row>
    <row r="964" spans="9:9" ht="12.5">
      <c r="I964" s="14"/>
    </row>
    <row r="965" spans="9:9" ht="12.5">
      <c r="I965" s="14"/>
    </row>
    <row r="966" spans="9:9" ht="12.5">
      <c r="I966" s="14"/>
    </row>
    <row r="967" spans="9:9" ht="12.5">
      <c r="I967" s="14"/>
    </row>
    <row r="968" spans="9:9" ht="12.5">
      <c r="I968" s="14"/>
    </row>
    <row r="969" spans="9:9" ht="12.5">
      <c r="I969" s="14"/>
    </row>
    <row r="970" spans="9:9" ht="12.5">
      <c r="I970" s="14"/>
    </row>
    <row r="971" spans="9:9" ht="12.5">
      <c r="I971" s="14"/>
    </row>
    <row r="972" spans="9:9" ht="12.5">
      <c r="I972" s="14"/>
    </row>
    <row r="973" spans="9:9" ht="12.5">
      <c r="I973" s="14"/>
    </row>
    <row r="974" spans="9:9" ht="12.5">
      <c r="I974" s="14"/>
    </row>
    <row r="975" spans="9:9" ht="12.5">
      <c r="I975" s="14"/>
    </row>
    <row r="976" spans="9:9" ht="12.5">
      <c r="I976" s="14"/>
    </row>
    <row r="977" spans="9:9" ht="12.5">
      <c r="I977" s="14"/>
    </row>
    <row r="978" spans="9:9" ht="12.5">
      <c r="I978" s="14"/>
    </row>
    <row r="979" spans="9:9" ht="12.5">
      <c r="I979" s="14"/>
    </row>
    <row r="980" spans="9:9" ht="12.5">
      <c r="I980" s="14"/>
    </row>
    <row r="981" spans="9:9" ht="12.5">
      <c r="I981" s="14"/>
    </row>
    <row r="982" spans="9:9" ht="12.5">
      <c r="I982" s="14"/>
    </row>
    <row r="983" spans="9:9" ht="12.5">
      <c r="I983" s="14"/>
    </row>
    <row r="984" spans="9:9" ht="12.5">
      <c r="I984" s="14"/>
    </row>
    <row r="985" spans="9:9" ht="12.5">
      <c r="I985" s="14"/>
    </row>
    <row r="986" spans="9:9" ht="12.5">
      <c r="I986" s="14"/>
    </row>
    <row r="987" spans="9:9" ht="12.5">
      <c r="I987" s="14"/>
    </row>
    <row r="988" spans="9:9" ht="12.5">
      <c r="I988" s="14"/>
    </row>
    <row r="989" spans="9:9" ht="12.5">
      <c r="I989" s="14"/>
    </row>
    <row r="990" spans="9:9" ht="12.5">
      <c r="I990" s="14"/>
    </row>
    <row r="991" spans="9:9" ht="12.5">
      <c r="I991" s="14"/>
    </row>
    <row r="992" spans="9:9" ht="12.5">
      <c r="I992" s="14"/>
    </row>
    <row r="993" spans="9:9" ht="12.5">
      <c r="I993" s="14"/>
    </row>
    <row r="994" spans="9:9" ht="12.5">
      <c r="I994" s="14"/>
    </row>
    <row r="995" spans="9:9" ht="12.5">
      <c r="I995" s="14"/>
    </row>
    <row r="996" spans="9:9" ht="12.5">
      <c r="I996" s="14"/>
    </row>
    <row r="997" spans="9:9" ht="12.5">
      <c r="I997" s="14"/>
    </row>
    <row r="998" spans="9:9" ht="12.5">
      <c r="I998" s="14"/>
    </row>
    <row r="999" spans="9:9" ht="12.5">
      <c r="I999" s="14"/>
    </row>
    <row r="1000" spans="9:9" ht="12.5">
      <c r="I1000" s="14"/>
    </row>
    <row r="1001" spans="9:9" ht="12.5">
      <c r="I1001" s="14"/>
    </row>
    <row r="1002" spans="9:9" ht="12.5">
      <c r="I1002" s="14"/>
    </row>
    <row r="1003" spans="9:9" ht="12.5">
      <c r="I1003" s="14"/>
    </row>
    <row r="1004" spans="9:9" ht="12.5">
      <c r="I1004" s="14"/>
    </row>
  </sheetData>
  <conditionalFormatting sqref="B3:D61">
    <cfRule type="expression" dxfId="4" priority="1">
      <formula>$D3=TRUE</formula>
    </cfRule>
    <cfRule type="expression" dxfId="3" priority="3">
      <formula>$C3=TRUE</formula>
    </cfRule>
  </conditionalFormatting>
  <conditionalFormatting sqref="G22:H22">
    <cfRule type="expression" dxfId="2" priority="2">
      <formula>$H22=TRUE</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1:J997"/>
  <sheetViews>
    <sheetView workbookViewId="0">
      <selection activeCell="C24" sqref="C24"/>
    </sheetView>
  </sheetViews>
  <sheetFormatPr defaultColWidth="12.6328125" defaultRowHeight="15.75" customHeight="1"/>
  <cols>
    <col min="1" max="1" width="0.36328125" customWidth="1"/>
    <col min="3" max="4" width="8.08984375" customWidth="1"/>
    <col min="5" max="5" width="18.26953125" customWidth="1"/>
    <col min="6" max="6" width="0.36328125" customWidth="1"/>
    <col min="7" max="8" width="12.90625" customWidth="1"/>
    <col min="9" max="9" width="10" customWidth="1"/>
    <col min="10" max="10" width="0.7265625" customWidth="1"/>
  </cols>
  <sheetData>
    <row r="1" spans="2:10" ht="1.5" customHeight="1">
      <c r="H1" s="279"/>
      <c r="I1" s="279"/>
    </row>
    <row r="2" spans="2:10" ht="13">
      <c r="B2" s="20" t="s">
        <v>52</v>
      </c>
      <c r="C2" s="103" t="s">
        <v>86</v>
      </c>
      <c r="D2" s="103" t="s">
        <v>87</v>
      </c>
      <c r="E2" s="104" t="s">
        <v>110</v>
      </c>
      <c r="G2" s="105" t="s">
        <v>17</v>
      </c>
      <c r="H2" s="257" t="s">
        <v>18</v>
      </c>
      <c r="I2" s="257" t="s">
        <v>14</v>
      </c>
    </row>
    <row r="3" spans="2:10" ht="12.5">
      <c r="B3" s="149" t="s">
        <v>1277</v>
      </c>
      <c r="C3" s="14" t="b">
        <v>1</v>
      </c>
      <c r="D3" s="14" t="b">
        <v>1</v>
      </c>
      <c r="E3" s="129" t="s">
        <v>1278</v>
      </c>
      <c r="G3" s="114" t="str">
        <f>B2</f>
        <v>Amp</v>
      </c>
      <c r="H3" s="283">
        <f t="shared" ref="H3:I3" si="0">COUNTIF(C3:C11, "TRUE")</f>
        <v>5</v>
      </c>
      <c r="I3" s="283">
        <f t="shared" si="0"/>
        <v>5</v>
      </c>
    </row>
    <row r="4" spans="2:10" ht="12.5">
      <c r="B4" s="149" t="s">
        <v>1279</v>
      </c>
      <c r="C4" s="14" t="b">
        <v>0</v>
      </c>
      <c r="D4" s="14" t="b">
        <v>0</v>
      </c>
      <c r="E4" s="129" t="s">
        <v>1280</v>
      </c>
      <c r="G4" s="255" t="s">
        <v>1281</v>
      </c>
      <c r="H4" s="297"/>
      <c r="I4" s="298">
        <f>COUNTA(D2:D11)</f>
        <v>10</v>
      </c>
    </row>
    <row r="5" spans="2:10" ht="12.5">
      <c r="B5" s="149" t="s">
        <v>1282</v>
      </c>
      <c r="C5" s="14" t="b">
        <v>1</v>
      </c>
      <c r="D5" s="14" t="b">
        <v>1</v>
      </c>
      <c r="E5" s="129" t="s">
        <v>1278</v>
      </c>
      <c r="G5" s="299" t="s">
        <v>61</v>
      </c>
      <c r="H5" s="300"/>
      <c r="I5" s="301">
        <f>SUM(I10:I13)</f>
        <v>38</v>
      </c>
    </row>
    <row r="6" spans="2:10" ht="12.5">
      <c r="B6" s="149" t="s">
        <v>1283</v>
      </c>
      <c r="C6" s="14" t="b">
        <v>0</v>
      </c>
      <c r="D6" s="14" t="b">
        <v>0</v>
      </c>
      <c r="E6" s="129" t="s">
        <v>1278</v>
      </c>
      <c r="G6" s="123" t="s">
        <v>1231</v>
      </c>
      <c r="H6" s="255"/>
      <c r="I6" s="261">
        <v>40</v>
      </c>
    </row>
    <row r="7" spans="2:10" ht="12.5">
      <c r="B7" s="149" t="s">
        <v>1284</v>
      </c>
      <c r="C7" s="14" t="b">
        <v>1</v>
      </c>
      <c r="D7" s="14" t="b">
        <v>1</v>
      </c>
      <c r="E7" s="302" t="s">
        <v>1285</v>
      </c>
      <c r="H7" s="14"/>
      <c r="I7" s="14"/>
      <c r="J7" s="14"/>
    </row>
    <row r="8" spans="2:10" ht="12.5">
      <c r="B8" s="10" t="s">
        <v>1286</v>
      </c>
      <c r="C8" s="13" t="b">
        <v>0</v>
      </c>
      <c r="D8" s="13" t="b">
        <v>0</v>
      </c>
      <c r="E8" s="129" t="s">
        <v>1280</v>
      </c>
      <c r="H8" s="14"/>
      <c r="I8" s="14"/>
      <c r="J8" s="14"/>
    </row>
    <row r="9" spans="2:10" ht="13">
      <c r="B9" s="149" t="s">
        <v>1287</v>
      </c>
      <c r="C9" s="14" t="b">
        <v>0</v>
      </c>
      <c r="D9" s="14" t="b">
        <v>0</v>
      </c>
      <c r="E9" s="129" t="s">
        <v>1280</v>
      </c>
      <c r="G9" s="67"/>
      <c r="H9" s="105" t="s">
        <v>1288</v>
      </c>
      <c r="I9" s="293" t="s">
        <v>1241</v>
      </c>
      <c r="J9" s="14"/>
    </row>
    <row r="10" spans="2:10" ht="12.5">
      <c r="B10" s="149" t="s">
        <v>1289</v>
      </c>
      <c r="C10" s="14" t="b">
        <v>1</v>
      </c>
      <c r="D10" s="14" t="b">
        <v>1</v>
      </c>
      <c r="E10" s="159" t="s">
        <v>1280</v>
      </c>
      <c r="G10" s="13"/>
      <c r="H10" s="10" t="s">
        <v>1290</v>
      </c>
      <c r="I10" s="12">
        <v>10</v>
      </c>
      <c r="J10" s="14"/>
    </row>
    <row r="11" spans="2:10" ht="12.5">
      <c r="B11" s="162" t="s">
        <v>1291</v>
      </c>
      <c r="C11" s="163" t="b">
        <v>1</v>
      </c>
      <c r="D11" s="163" t="b">
        <v>1</v>
      </c>
      <c r="E11" s="217" t="s">
        <v>1292</v>
      </c>
      <c r="G11" s="13"/>
      <c r="H11" s="10" t="s">
        <v>1293</v>
      </c>
      <c r="I11" s="12">
        <v>10</v>
      </c>
      <c r="J11" s="14"/>
    </row>
    <row r="12" spans="2:10" ht="12.5">
      <c r="G12" s="13"/>
      <c r="H12" s="10" t="s">
        <v>1294</v>
      </c>
      <c r="I12" s="12">
        <v>9</v>
      </c>
    </row>
    <row r="13" spans="2:10" ht="12.5">
      <c r="G13" s="13"/>
      <c r="H13" s="15" t="s">
        <v>1295</v>
      </c>
      <c r="I13" s="17">
        <v>9</v>
      </c>
    </row>
    <row r="14" spans="2:10" ht="12.5">
      <c r="H14" s="14"/>
      <c r="I14" s="14"/>
    </row>
    <row r="15" spans="2:10" ht="12.5">
      <c r="H15" s="14"/>
      <c r="I15" s="14"/>
    </row>
    <row r="16" spans="2:10" ht="12.5">
      <c r="H16" s="14"/>
      <c r="I16" s="14"/>
    </row>
    <row r="17" spans="8:9" ht="12.5">
      <c r="H17" s="14"/>
      <c r="I17" s="14"/>
    </row>
    <row r="18" spans="8:9" ht="12.5">
      <c r="H18" s="14"/>
      <c r="I18" s="14"/>
    </row>
    <row r="19" spans="8:9" ht="12.5">
      <c r="H19" s="14"/>
      <c r="I19" s="14"/>
    </row>
    <row r="20" spans="8:9" ht="12.5">
      <c r="H20" s="14"/>
      <c r="I20" s="14"/>
    </row>
    <row r="21" spans="8:9" ht="12.5">
      <c r="H21" s="14"/>
      <c r="I21" s="14"/>
    </row>
    <row r="22" spans="8:9" ht="12.5">
      <c r="H22" s="14"/>
      <c r="I22" s="14"/>
    </row>
    <row r="23" spans="8:9" ht="12.5">
      <c r="H23" s="14"/>
      <c r="I23" s="14"/>
    </row>
    <row r="24" spans="8:9" ht="12.5">
      <c r="H24" s="14"/>
      <c r="I24" s="14"/>
    </row>
    <row r="25" spans="8:9" ht="12.5">
      <c r="H25" s="14"/>
      <c r="I25" s="14"/>
    </row>
    <row r="26" spans="8:9" ht="12.5">
      <c r="H26" s="14"/>
      <c r="I26" s="14"/>
    </row>
    <row r="27" spans="8:9" ht="12.5">
      <c r="H27" s="14"/>
      <c r="I27" s="14"/>
    </row>
    <row r="28" spans="8:9" ht="12.5">
      <c r="H28" s="14"/>
      <c r="I28" s="14"/>
    </row>
    <row r="29" spans="8:9" ht="12.5">
      <c r="H29" s="14"/>
      <c r="I29" s="14"/>
    </row>
    <row r="30" spans="8:9" ht="12.5">
      <c r="H30" s="14"/>
      <c r="I30" s="14"/>
    </row>
    <row r="31" spans="8:9" ht="12.5">
      <c r="H31" s="14"/>
      <c r="I31" s="14"/>
    </row>
    <row r="32" spans="8:9" ht="12.5">
      <c r="H32" s="14"/>
      <c r="I32" s="14"/>
    </row>
    <row r="33" spans="8:9" ht="12.5">
      <c r="H33" s="14"/>
      <c r="I33" s="14"/>
    </row>
    <row r="34" spans="8:9" ht="12.5">
      <c r="H34" s="14"/>
      <c r="I34" s="14"/>
    </row>
    <row r="35" spans="8:9" ht="12.5">
      <c r="H35" s="14"/>
      <c r="I35" s="14"/>
    </row>
    <row r="36" spans="8:9" ht="12.5">
      <c r="H36" s="14"/>
      <c r="I36" s="14"/>
    </row>
    <row r="37" spans="8:9" ht="12.5">
      <c r="H37" s="14"/>
      <c r="I37" s="14"/>
    </row>
    <row r="38" spans="8:9" ht="12.5">
      <c r="H38" s="14"/>
      <c r="I38" s="14"/>
    </row>
    <row r="39" spans="8:9" ht="12.5">
      <c r="H39" s="14"/>
      <c r="I39" s="14"/>
    </row>
    <row r="40" spans="8:9" ht="12.5">
      <c r="H40" s="14"/>
      <c r="I40" s="14"/>
    </row>
    <row r="41" spans="8:9" ht="12.5">
      <c r="H41" s="14"/>
      <c r="I41" s="14"/>
    </row>
    <row r="42" spans="8:9" ht="12.5">
      <c r="H42" s="14"/>
      <c r="I42" s="14"/>
    </row>
    <row r="43" spans="8:9" ht="12.5">
      <c r="H43" s="14"/>
      <c r="I43" s="14"/>
    </row>
    <row r="44" spans="8:9" ht="12.5">
      <c r="H44" s="14"/>
      <c r="I44" s="14"/>
    </row>
    <row r="45" spans="8:9" ht="12.5">
      <c r="H45" s="14"/>
      <c r="I45" s="14"/>
    </row>
    <row r="46" spans="8:9" ht="12.5">
      <c r="H46" s="14"/>
      <c r="I46" s="14"/>
    </row>
    <row r="47" spans="8:9" ht="12.5">
      <c r="H47" s="14"/>
      <c r="I47" s="14"/>
    </row>
    <row r="48" spans="8:9" ht="12.5">
      <c r="H48" s="14"/>
      <c r="I48" s="14"/>
    </row>
    <row r="49" spans="8:9" ht="12.5">
      <c r="H49" s="14"/>
      <c r="I49" s="14"/>
    </row>
    <row r="50" spans="8:9" ht="12.5">
      <c r="H50" s="14"/>
      <c r="I50" s="14"/>
    </row>
    <row r="51" spans="8:9" ht="12.5">
      <c r="H51" s="14"/>
      <c r="I51" s="14"/>
    </row>
    <row r="52" spans="8:9" ht="12.5">
      <c r="H52" s="14"/>
      <c r="I52" s="14"/>
    </row>
    <row r="53" spans="8:9" ht="12.5">
      <c r="H53" s="14"/>
      <c r="I53" s="14"/>
    </row>
    <row r="54" spans="8:9" ht="12.5">
      <c r="H54" s="14"/>
      <c r="I54" s="14"/>
    </row>
    <row r="55" spans="8:9" ht="12.5">
      <c r="H55" s="14"/>
      <c r="I55" s="14"/>
    </row>
    <row r="56" spans="8:9" ht="12.5">
      <c r="H56" s="14"/>
      <c r="I56" s="14"/>
    </row>
    <row r="57" spans="8:9" ht="12.5">
      <c r="H57" s="14"/>
      <c r="I57" s="14"/>
    </row>
    <row r="58" spans="8:9" ht="12.5">
      <c r="H58" s="14"/>
      <c r="I58" s="14"/>
    </row>
    <row r="59" spans="8:9" ht="12.5">
      <c r="H59" s="14"/>
      <c r="I59" s="14"/>
    </row>
    <row r="60" spans="8:9" ht="12.5">
      <c r="H60" s="14"/>
      <c r="I60" s="14"/>
    </row>
    <row r="61" spans="8:9" ht="12.5">
      <c r="H61" s="14"/>
      <c r="I61" s="14"/>
    </row>
    <row r="62" spans="8:9" ht="12.5">
      <c r="H62" s="14"/>
      <c r="I62" s="14"/>
    </row>
    <row r="63" spans="8:9" ht="12.5">
      <c r="H63" s="14"/>
      <c r="I63" s="14"/>
    </row>
    <row r="64" spans="8:9" ht="12.5">
      <c r="H64" s="14"/>
      <c r="I64" s="14"/>
    </row>
    <row r="65" spans="8:9" ht="12.5">
      <c r="H65" s="14"/>
      <c r="I65" s="14"/>
    </row>
    <row r="66" spans="8:9" ht="12.5">
      <c r="H66" s="14"/>
      <c r="I66" s="14"/>
    </row>
    <row r="67" spans="8:9" ht="12.5">
      <c r="H67" s="14"/>
      <c r="I67" s="14"/>
    </row>
    <row r="68" spans="8:9" ht="12.5">
      <c r="H68" s="14"/>
      <c r="I68" s="14"/>
    </row>
    <row r="69" spans="8:9" ht="12.5">
      <c r="H69" s="14"/>
      <c r="I69" s="14"/>
    </row>
    <row r="70" spans="8:9" ht="12.5">
      <c r="H70" s="14"/>
      <c r="I70" s="14"/>
    </row>
    <row r="71" spans="8:9" ht="12.5">
      <c r="H71" s="14"/>
      <c r="I71" s="14"/>
    </row>
    <row r="72" spans="8:9" ht="12.5">
      <c r="H72" s="14"/>
      <c r="I72" s="14"/>
    </row>
    <row r="73" spans="8:9" ht="12.5">
      <c r="H73" s="14"/>
      <c r="I73" s="14"/>
    </row>
    <row r="74" spans="8:9" ht="12.5">
      <c r="H74" s="14"/>
      <c r="I74" s="14"/>
    </row>
    <row r="75" spans="8:9" ht="12.5">
      <c r="H75" s="14"/>
      <c r="I75" s="14"/>
    </row>
    <row r="76" spans="8:9" ht="12.5">
      <c r="H76" s="14"/>
      <c r="I76" s="14"/>
    </row>
    <row r="77" spans="8:9" ht="12.5">
      <c r="H77" s="14"/>
      <c r="I77" s="14"/>
    </row>
    <row r="78" spans="8:9" ht="12.5">
      <c r="H78" s="14"/>
      <c r="I78" s="14"/>
    </row>
    <row r="79" spans="8:9" ht="12.5">
      <c r="H79" s="14"/>
      <c r="I79" s="14"/>
    </row>
    <row r="80" spans="8:9" ht="12.5">
      <c r="H80" s="14"/>
      <c r="I80" s="14"/>
    </row>
    <row r="81" spans="8:9" ht="12.5">
      <c r="H81" s="14"/>
      <c r="I81" s="14"/>
    </row>
    <row r="82" spans="8:9" ht="12.5">
      <c r="H82" s="14"/>
      <c r="I82" s="14"/>
    </row>
    <row r="83" spans="8:9" ht="12.5">
      <c r="H83" s="14"/>
      <c r="I83" s="14"/>
    </row>
    <row r="84" spans="8:9" ht="12.5">
      <c r="H84" s="14"/>
      <c r="I84" s="14"/>
    </row>
    <row r="85" spans="8:9" ht="12.5">
      <c r="H85" s="14"/>
      <c r="I85" s="14"/>
    </row>
    <row r="86" spans="8:9" ht="12.5">
      <c r="H86" s="14"/>
      <c r="I86" s="14"/>
    </row>
    <row r="87" spans="8:9" ht="12.5">
      <c r="H87" s="14"/>
      <c r="I87" s="14"/>
    </row>
    <row r="88" spans="8:9" ht="12.5">
      <c r="H88" s="14"/>
      <c r="I88" s="14"/>
    </row>
    <row r="89" spans="8:9" ht="12.5">
      <c r="H89" s="14"/>
      <c r="I89" s="14"/>
    </row>
    <row r="90" spans="8:9" ht="12.5">
      <c r="H90" s="14"/>
      <c r="I90" s="14"/>
    </row>
    <row r="91" spans="8:9" ht="12.5">
      <c r="H91" s="14"/>
      <c r="I91" s="14"/>
    </row>
    <row r="92" spans="8:9" ht="12.5">
      <c r="H92" s="14"/>
      <c r="I92" s="14"/>
    </row>
    <row r="93" spans="8:9" ht="12.5">
      <c r="H93" s="14"/>
      <c r="I93" s="14"/>
    </row>
    <row r="94" spans="8:9" ht="12.5">
      <c r="H94" s="14"/>
      <c r="I94" s="14"/>
    </row>
    <row r="95" spans="8:9" ht="12.5">
      <c r="H95" s="14"/>
      <c r="I95" s="14"/>
    </row>
    <row r="96" spans="8:9" ht="12.5">
      <c r="H96" s="14"/>
      <c r="I96" s="14"/>
    </row>
    <row r="97" spans="8:9" ht="12.5">
      <c r="H97" s="14"/>
      <c r="I97" s="14"/>
    </row>
    <row r="98" spans="8:9" ht="12.5">
      <c r="H98" s="14"/>
      <c r="I98" s="14"/>
    </row>
    <row r="99" spans="8:9" ht="12.5">
      <c r="H99" s="14"/>
      <c r="I99" s="14"/>
    </row>
    <row r="100" spans="8:9" ht="12.5">
      <c r="H100" s="14"/>
      <c r="I100" s="14"/>
    </row>
    <row r="101" spans="8:9" ht="12.5">
      <c r="H101" s="14"/>
      <c r="I101" s="14"/>
    </row>
    <row r="102" spans="8:9" ht="12.5">
      <c r="H102" s="14"/>
      <c r="I102" s="14"/>
    </row>
    <row r="103" spans="8:9" ht="12.5">
      <c r="H103" s="14"/>
      <c r="I103" s="14"/>
    </row>
    <row r="104" spans="8:9" ht="12.5">
      <c r="H104" s="14"/>
      <c r="I104" s="14"/>
    </row>
    <row r="105" spans="8:9" ht="12.5">
      <c r="H105" s="14"/>
      <c r="I105" s="14"/>
    </row>
    <row r="106" spans="8:9" ht="12.5">
      <c r="H106" s="14"/>
      <c r="I106" s="14"/>
    </row>
    <row r="107" spans="8:9" ht="12.5">
      <c r="H107" s="14"/>
      <c r="I107" s="14"/>
    </row>
    <row r="108" spans="8:9" ht="12.5">
      <c r="H108" s="14"/>
      <c r="I108" s="14"/>
    </row>
    <row r="109" spans="8:9" ht="12.5">
      <c r="H109" s="14"/>
      <c r="I109" s="14"/>
    </row>
    <row r="110" spans="8:9" ht="12.5">
      <c r="H110" s="14"/>
      <c r="I110" s="14"/>
    </row>
    <row r="111" spans="8:9" ht="12.5">
      <c r="H111" s="14"/>
      <c r="I111" s="14"/>
    </row>
    <row r="112" spans="8:9" ht="12.5">
      <c r="H112" s="14"/>
      <c r="I112" s="14"/>
    </row>
    <row r="113" spans="8:9" ht="12.5">
      <c r="H113" s="14"/>
      <c r="I113" s="14"/>
    </row>
    <row r="114" spans="8:9" ht="12.5">
      <c r="H114" s="14"/>
      <c r="I114" s="14"/>
    </row>
    <row r="115" spans="8:9" ht="12.5">
      <c r="H115" s="14"/>
      <c r="I115" s="14"/>
    </row>
    <row r="116" spans="8:9" ht="12.5">
      <c r="H116" s="14"/>
      <c r="I116" s="14"/>
    </row>
    <row r="117" spans="8:9" ht="12.5">
      <c r="H117" s="14"/>
      <c r="I117" s="14"/>
    </row>
    <row r="118" spans="8:9" ht="12.5">
      <c r="H118" s="14"/>
      <c r="I118" s="14"/>
    </row>
    <row r="119" spans="8:9" ht="12.5">
      <c r="H119" s="14"/>
      <c r="I119" s="14"/>
    </row>
    <row r="120" spans="8:9" ht="12.5">
      <c r="H120" s="14"/>
      <c r="I120" s="14"/>
    </row>
    <row r="121" spans="8:9" ht="12.5">
      <c r="H121" s="14"/>
      <c r="I121" s="14"/>
    </row>
    <row r="122" spans="8:9" ht="12.5">
      <c r="H122" s="14"/>
      <c r="I122" s="14"/>
    </row>
    <row r="123" spans="8:9" ht="12.5">
      <c r="H123" s="14"/>
      <c r="I123" s="14"/>
    </row>
    <row r="124" spans="8:9" ht="12.5">
      <c r="H124" s="14"/>
      <c r="I124" s="14"/>
    </row>
    <row r="125" spans="8:9" ht="12.5">
      <c r="H125" s="14"/>
      <c r="I125" s="14"/>
    </row>
    <row r="126" spans="8:9" ht="12.5">
      <c r="H126" s="14"/>
      <c r="I126" s="14"/>
    </row>
    <row r="127" spans="8:9" ht="12.5">
      <c r="H127" s="14"/>
      <c r="I127" s="14"/>
    </row>
    <row r="128" spans="8:9" ht="12.5">
      <c r="H128" s="14"/>
      <c r="I128" s="14"/>
    </row>
    <row r="129" spans="8:9" ht="12.5">
      <c r="H129" s="14"/>
      <c r="I129" s="14"/>
    </row>
    <row r="130" spans="8:9" ht="12.5">
      <c r="H130" s="14"/>
      <c r="I130" s="14"/>
    </row>
    <row r="131" spans="8:9" ht="12.5">
      <c r="H131" s="14"/>
      <c r="I131" s="14"/>
    </row>
    <row r="132" spans="8:9" ht="12.5">
      <c r="H132" s="14"/>
      <c r="I132" s="14"/>
    </row>
    <row r="133" spans="8:9" ht="12.5">
      <c r="H133" s="14"/>
      <c r="I133" s="14"/>
    </row>
    <row r="134" spans="8:9" ht="12.5">
      <c r="H134" s="14"/>
      <c r="I134" s="14"/>
    </row>
    <row r="135" spans="8:9" ht="12.5">
      <c r="H135" s="14"/>
      <c r="I135" s="14"/>
    </row>
    <row r="136" spans="8:9" ht="12.5">
      <c r="H136" s="14"/>
      <c r="I136" s="14"/>
    </row>
    <row r="137" spans="8:9" ht="12.5">
      <c r="H137" s="14"/>
      <c r="I137" s="14"/>
    </row>
    <row r="138" spans="8:9" ht="12.5">
      <c r="H138" s="14"/>
      <c r="I138" s="14"/>
    </row>
    <row r="139" spans="8:9" ht="12.5">
      <c r="H139" s="14"/>
      <c r="I139" s="14"/>
    </row>
    <row r="140" spans="8:9" ht="12.5">
      <c r="H140" s="14"/>
      <c r="I140" s="14"/>
    </row>
    <row r="141" spans="8:9" ht="12.5">
      <c r="H141" s="14"/>
      <c r="I141" s="14"/>
    </row>
    <row r="142" spans="8:9" ht="12.5">
      <c r="H142" s="14"/>
      <c r="I142" s="14"/>
    </row>
    <row r="143" spans="8:9" ht="12.5">
      <c r="H143" s="14"/>
      <c r="I143" s="14"/>
    </row>
    <row r="144" spans="8:9" ht="12.5">
      <c r="H144" s="14"/>
      <c r="I144" s="14"/>
    </row>
    <row r="145" spans="8:9" ht="12.5">
      <c r="H145" s="14"/>
      <c r="I145" s="14"/>
    </row>
    <row r="146" spans="8:9" ht="12.5">
      <c r="H146" s="14"/>
      <c r="I146" s="14"/>
    </row>
    <row r="147" spans="8:9" ht="12.5">
      <c r="H147" s="14"/>
      <c r="I147" s="14"/>
    </row>
    <row r="148" spans="8:9" ht="12.5">
      <c r="H148" s="14"/>
      <c r="I148" s="14"/>
    </row>
    <row r="149" spans="8:9" ht="12.5">
      <c r="H149" s="14"/>
      <c r="I149" s="14"/>
    </row>
    <row r="150" spans="8:9" ht="12.5">
      <c r="H150" s="14"/>
      <c r="I150" s="14"/>
    </row>
    <row r="151" spans="8:9" ht="12.5">
      <c r="H151" s="14"/>
      <c r="I151" s="14"/>
    </row>
    <row r="152" spans="8:9" ht="12.5">
      <c r="H152" s="14"/>
      <c r="I152" s="14"/>
    </row>
    <row r="153" spans="8:9" ht="12.5">
      <c r="H153" s="14"/>
      <c r="I153" s="14"/>
    </row>
    <row r="154" spans="8:9" ht="12.5">
      <c r="H154" s="14"/>
      <c r="I154" s="14"/>
    </row>
    <row r="155" spans="8:9" ht="12.5">
      <c r="H155" s="14"/>
      <c r="I155" s="14"/>
    </row>
    <row r="156" spans="8:9" ht="12.5">
      <c r="H156" s="14"/>
      <c r="I156" s="14"/>
    </row>
    <row r="157" spans="8:9" ht="12.5">
      <c r="H157" s="14"/>
      <c r="I157" s="14"/>
    </row>
    <row r="158" spans="8:9" ht="12.5">
      <c r="H158" s="14"/>
      <c r="I158" s="14"/>
    </row>
    <row r="159" spans="8:9" ht="12.5">
      <c r="H159" s="14"/>
      <c r="I159" s="14"/>
    </row>
    <row r="160" spans="8:9" ht="12.5">
      <c r="H160" s="14"/>
      <c r="I160" s="14"/>
    </row>
    <row r="161" spans="8:9" ht="12.5">
      <c r="H161" s="14"/>
      <c r="I161" s="14"/>
    </row>
    <row r="162" spans="8:9" ht="12.5">
      <c r="H162" s="14"/>
      <c r="I162" s="14"/>
    </row>
    <row r="163" spans="8:9" ht="12.5">
      <c r="H163" s="14"/>
      <c r="I163" s="14"/>
    </row>
    <row r="164" spans="8:9" ht="12.5">
      <c r="H164" s="14"/>
      <c r="I164" s="14"/>
    </row>
    <row r="165" spans="8:9" ht="12.5">
      <c r="H165" s="14"/>
      <c r="I165" s="14"/>
    </row>
    <row r="166" spans="8:9" ht="12.5">
      <c r="H166" s="14"/>
      <c r="I166" s="14"/>
    </row>
    <row r="167" spans="8:9" ht="12.5">
      <c r="H167" s="14"/>
      <c r="I167" s="14"/>
    </row>
    <row r="168" spans="8:9" ht="12.5">
      <c r="H168" s="14"/>
      <c r="I168" s="14"/>
    </row>
    <row r="169" spans="8:9" ht="12.5">
      <c r="H169" s="14"/>
      <c r="I169" s="14"/>
    </row>
    <row r="170" spans="8:9" ht="12.5">
      <c r="H170" s="14"/>
      <c r="I170" s="14"/>
    </row>
    <row r="171" spans="8:9" ht="12.5">
      <c r="H171" s="14"/>
      <c r="I171" s="14"/>
    </row>
    <row r="172" spans="8:9" ht="12.5">
      <c r="H172" s="14"/>
      <c r="I172" s="14"/>
    </row>
    <row r="173" spans="8:9" ht="12.5">
      <c r="H173" s="14"/>
      <c r="I173" s="14"/>
    </row>
    <row r="174" spans="8:9" ht="12.5">
      <c r="H174" s="14"/>
      <c r="I174" s="14"/>
    </row>
    <row r="175" spans="8:9" ht="12.5">
      <c r="H175" s="14"/>
      <c r="I175" s="14"/>
    </row>
    <row r="176" spans="8:9" ht="12.5">
      <c r="H176" s="14"/>
      <c r="I176" s="14"/>
    </row>
    <row r="177" spans="8:9" ht="12.5">
      <c r="H177" s="14"/>
      <c r="I177" s="14"/>
    </row>
    <row r="178" spans="8:9" ht="12.5">
      <c r="H178" s="14"/>
      <c r="I178" s="14"/>
    </row>
    <row r="179" spans="8:9" ht="12.5">
      <c r="H179" s="14"/>
      <c r="I179" s="14"/>
    </row>
    <row r="180" spans="8:9" ht="12.5">
      <c r="H180" s="14"/>
      <c r="I180" s="14"/>
    </row>
    <row r="181" spans="8:9" ht="12.5">
      <c r="H181" s="14"/>
      <c r="I181" s="14"/>
    </row>
    <row r="182" spans="8:9" ht="12.5">
      <c r="H182" s="14"/>
      <c r="I182" s="14"/>
    </row>
    <row r="183" spans="8:9" ht="12.5">
      <c r="H183" s="14"/>
      <c r="I183" s="14"/>
    </row>
    <row r="184" spans="8:9" ht="12.5">
      <c r="H184" s="14"/>
      <c r="I184" s="14"/>
    </row>
    <row r="185" spans="8:9" ht="12.5">
      <c r="H185" s="14"/>
      <c r="I185" s="14"/>
    </row>
    <row r="186" spans="8:9" ht="12.5">
      <c r="H186" s="14"/>
      <c r="I186" s="14"/>
    </row>
    <row r="187" spans="8:9" ht="12.5">
      <c r="H187" s="14"/>
      <c r="I187" s="14"/>
    </row>
    <row r="188" spans="8:9" ht="12.5">
      <c r="H188" s="14"/>
      <c r="I188" s="14"/>
    </row>
    <row r="189" spans="8:9" ht="12.5">
      <c r="H189" s="14"/>
      <c r="I189" s="14"/>
    </row>
    <row r="190" spans="8:9" ht="12.5">
      <c r="H190" s="14"/>
      <c r="I190" s="14"/>
    </row>
    <row r="191" spans="8:9" ht="12.5">
      <c r="H191" s="14"/>
      <c r="I191" s="14"/>
    </row>
    <row r="192" spans="8:9" ht="12.5">
      <c r="H192" s="14"/>
      <c r="I192" s="14"/>
    </row>
    <row r="193" spans="8:9" ht="12.5">
      <c r="H193" s="14"/>
      <c r="I193" s="14"/>
    </row>
    <row r="194" spans="8:9" ht="12.5">
      <c r="H194" s="14"/>
      <c r="I194" s="14"/>
    </row>
    <row r="195" spans="8:9" ht="12.5">
      <c r="H195" s="14"/>
      <c r="I195" s="14"/>
    </row>
    <row r="196" spans="8:9" ht="12.5">
      <c r="H196" s="14"/>
      <c r="I196" s="14"/>
    </row>
    <row r="197" spans="8:9" ht="12.5">
      <c r="H197" s="14"/>
      <c r="I197" s="14"/>
    </row>
    <row r="198" spans="8:9" ht="12.5">
      <c r="H198" s="14"/>
      <c r="I198" s="14"/>
    </row>
    <row r="199" spans="8:9" ht="12.5">
      <c r="H199" s="14"/>
      <c r="I199" s="14"/>
    </row>
    <row r="200" spans="8:9" ht="12.5">
      <c r="H200" s="14"/>
      <c r="I200" s="14"/>
    </row>
    <row r="201" spans="8:9" ht="12.5">
      <c r="H201" s="14"/>
      <c r="I201" s="14"/>
    </row>
    <row r="202" spans="8:9" ht="12.5">
      <c r="H202" s="14"/>
      <c r="I202" s="14"/>
    </row>
    <row r="203" spans="8:9" ht="12.5">
      <c r="H203" s="14"/>
      <c r="I203" s="14"/>
    </row>
    <row r="204" spans="8:9" ht="12.5">
      <c r="H204" s="14"/>
      <c r="I204" s="14"/>
    </row>
    <row r="205" spans="8:9" ht="12.5">
      <c r="H205" s="14"/>
      <c r="I205" s="14"/>
    </row>
    <row r="206" spans="8:9" ht="12.5">
      <c r="H206" s="14"/>
      <c r="I206" s="14"/>
    </row>
    <row r="207" spans="8:9" ht="12.5">
      <c r="H207" s="14"/>
      <c r="I207" s="14"/>
    </row>
    <row r="208" spans="8:9" ht="12.5">
      <c r="H208" s="14"/>
      <c r="I208" s="14"/>
    </row>
    <row r="209" spans="8:9" ht="12.5">
      <c r="H209" s="14"/>
      <c r="I209" s="14"/>
    </row>
    <row r="210" spans="8:9" ht="12.5">
      <c r="H210" s="14"/>
      <c r="I210" s="14"/>
    </row>
    <row r="211" spans="8:9" ht="12.5">
      <c r="H211" s="14"/>
      <c r="I211" s="14"/>
    </row>
    <row r="212" spans="8:9" ht="12.5">
      <c r="H212" s="14"/>
      <c r="I212" s="14"/>
    </row>
    <row r="213" spans="8:9" ht="12.5">
      <c r="H213" s="14"/>
      <c r="I213" s="14"/>
    </row>
    <row r="214" spans="8:9" ht="12.5">
      <c r="H214" s="14"/>
      <c r="I214" s="14"/>
    </row>
    <row r="215" spans="8:9" ht="12.5">
      <c r="H215" s="14"/>
      <c r="I215" s="14"/>
    </row>
    <row r="216" spans="8:9" ht="12.5">
      <c r="H216" s="14"/>
      <c r="I216" s="14"/>
    </row>
    <row r="217" spans="8:9" ht="12.5">
      <c r="H217" s="14"/>
      <c r="I217" s="14"/>
    </row>
    <row r="218" spans="8:9" ht="12.5">
      <c r="H218" s="14"/>
      <c r="I218" s="14"/>
    </row>
    <row r="219" spans="8:9" ht="12.5">
      <c r="H219" s="14"/>
      <c r="I219" s="14"/>
    </row>
    <row r="220" spans="8:9" ht="12.5">
      <c r="H220" s="14"/>
      <c r="I220" s="14"/>
    </row>
    <row r="221" spans="8:9" ht="12.5">
      <c r="H221" s="14"/>
      <c r="I221" s="14"/>
    </row>
    <row r="222" spans="8:9" ht="12.5">
      <c r="H222" s="14"/>
      <c r="I222" s="14"/>
    </row>
    <row r="223" spans="8:9" ht="12.5">
      <c r="H223" s="14"/>
      <c r="I223" s="14"/>
    </row>
    <row r="224" spans="8:9" ht="12.5">
      <c r="H224" s="14"/>
      <c r="I224" s="14"/>
    </row>
    <row r="225" spans="8:9" ht="12.5">
      <c r="H225" s="14"/>
      <c r="I225" s="14"/>
    </row>
    <row r="226" spans="8:9" ht="12.5">
      <c r="H226" s="14"/>
      <c r="I226" s="14"/>
    </row>
    <row r="227" spans="8:9" ht="12.5">
      <c r="H227" s="14"/>
      <c r="I227" s="14"/>
    </row>
    <row r="228" spans="8:9" ht="12.5">
      <c r="H228" s="14"/>
      <c r="I228" s="14"/>
    </row>
    <row r="229" spans="8:9" ht="12.5">
      <c r="H229" s="14"/>
      <c r="I229" s="14"/>
    </row>
    <row r="230" spans="8:9" ht="12.5">
      <c r="H230" s="14"/>
      <c r="I230" s="14"/>
    </row>
    <row r="231" spans="8:9" ht="12.5">
      <c r="H231" s="14"/>
      <c r="I231" s="14"/>
    </row>
    <row r="232" spans="8:9" ht="12.5">
      <c r="H232" s="14"/>
      <c r="I232" s="14"/>
    </row>
    <row r="233" spans="8:9" ht="12.5">
      <c r="H233" s="14"/>
      <c r="I233" s="14"/>
    </row>
    <row r="234" spans="8:9" ht="12.5">
      <c r="H234" s="14"/>
      <c r="I234" s="14"/>
    </row>
    <row r="235" spans="8:9" ht="12.5">
      <c r="H235" s="14"/>
      <c r="I235" s="14"/>
    </row>
    <row r="236" spans="8:9" ht="12.5">
      <c r="H236" s="14"/>
      <c r="I236" s="14"/>
    </row>
    <row r="237" spans="8:9" ht="12.5">
      <c r="H237" s="14"/>
      <c r="I237" s="14"/>
    </row>
    <row r="238" spans="8:9" ht="12.5">
      <c r="H238" s="14"/>
      <c r="I238" s="14"/>
    </row>
    <row r="239" spans="8:9" ht="12.5">
      <c r="H239" s="14"/>
      <c r="I239" s="14"/>
    </row>
    <row r="240" spans="8:9" ht="12.5">
      <c r="H240" s="14"/>
      <c r="I240" s="14"/>
    </row>
    <row r="241" spans="8:9" ht="12.5">
      <c r="H241" s="14"/>
      <c r="I241" s="14"/>
    </row>
    <row r="242" spans="8:9" ht="12.5">
      <c r="H242" s="14"/>
      <c r="I242" s="14"/>
    </row>
    <row r="243" spans="8:9" ht="12.5">
      <c r="H243" s="14"/>
      <c r="I243" s="14"/>
    </row>
    <row r="244" spans="8:9" ht="12.5">
      <c r="H244" s="14"/>
      <c r="I244" s="14"/>
    </row>
    <row r="245" spans="8:9" ht="12.5">
      <c r="H245" s="14"/>
      <c r="I245" s="14"/>
    </row>
    <row r="246" spans="8:9" ht="12.5">
      <c r="H246" s="14"/>
      <c r="I246" s="14"/>
    </row>
    <row r="247" spans="8:9" ht="12.5">
      <c r="H247" s="14"/>
      <c r="I247" s="14"/>
    </row>
    <row r="248" spans="8:9" ht="12.5">
      <c r="H248" s="14"/>
      <c r="I248" s="14"/>
    </row>
    <row r="249" spans="8:9" ht="12.5">
      <c r="H249" s="14"/>
      <c r="I249" s="14"/>
    </row>
    <row r="250" spans="8:9" ht="12.5">
      <c r="H250" s="14"/>
      <c r="I250" s="14"/>
    </row>
    <row r="251" spans="8:9" ht="12.5">
      <c r="H251" s="14"/>
      <c r="I251" s="14"/>
    </row>
    <row r="252" spans="8:9" ht="12.5">
      <c r="H252" s="14"/>
      <c r="I252" s="14"/>
    </row>
    <row r="253" spans="8:9" ht="12.5">
      <c r="H253" s="14"/>
      <c r="I253" s="14"/>
    </row>
    <row r="254" spans="8:9" ht="12.5">
      <c r="H254" s="14"/>
      <c r="I254" s="14"/>
    </row>
    <row r="255" spans="8:9" ht="12.5">
      <c r="H255" s="14"/>
      <c r="I255" s="14"/>
    </row>
    <row r="256" spans="8:9" ht="12.5">
      <c r="H256" s="14"/>
      <c r="I256" s="14"/>
    </row>
    <row r="257" spans="8:9" ht="12.5">
      <c r="H257" s="14"/>
      <c r="I257" s="14"/>
    </row>
    <row r="258" spans="8:9" ht="12.5">
      <c r="H258" s="14"/>
      <c r="I258" s="14"/>
    </row>
    <row r="259" spans="8:9" ht="12.5">
      <c r="H259" s="14"/>
      <c r="I259" s="14"/>
    </row>
    <row r="260" spans="8:9" ht="12.5">
      <c r="H260" s="14"/>
      <c r="I260" s="14"/>
    </row>
    <row r="261" spans="8:9" ht="12.5">
      <c r="H261" s="14"/>
      <c r="I261" s="14"/>
    </row>
    <row r="262" spans="8:9" ht="12.5">
      <c r="H262" s="14"/>
      <c r="I262" s="14"/>
    </row>
    <row r="263" spans="8:9" ht="12.5">
      <c r="H263" s="14"/>
      <c r="I263" s="14"/>
    </row>
    <row r="264" spans="8:9" ht="12.5">
      <c r="H264" s="14"/>
      <c r="I264" s="14"/>
    </row>
    <row r="265" spans="8:9" ht="12.5">
      <c r="H265" s="14"/>
      <c r="I265" s="14"/>
    </row>
    <row r="266" spans="8:9" ht="12.5">
      <c r="H266" s="14"/>
      <c r="I266" s="14"/>
    </row>
    <row r="267" spans="8:9" ht="12.5">
      <c r="H267" s="14"/>
      <c r="I267" s="14"/>
    </row>
    <row r="268" spans="8:9" ht="12.5">
      <c r="H268" s="14"/>
      <c r="I268" s="14"/>
    </row>
    <row r="269" spans="8:9" ht="12.5">
      <c r="H269" s="14"/>
      <c r="I269" s="14"/>
    </row>
    <row r="270" spans="8:9" ht="12.5">
      <c r="H270" s="14"/>
      <c r="I270" s="14"/>
    </row>
    <row r="271" spans="8:9" ht="12.5">
      <c r="H271" s="14"/>
      <c r="I271" s="14"/>
    </row>
    <row r="272" spans="8:9" ht="12.5">
      <c r="H272" s="14"/>
      <c r="I272" s="14"/>
    </row>
    <row r="273" spans="8:9" ht="12.5">
      <c r="H273" s="14"/>
      <c r="I273" s="14"/>
    </row>
    <row r="274" spans="8:9" ht="12.5">
      <c r="H274" s="14"/>
      <c r="I274" s="14"/>
    </row>
    <row r="275" spans="8:9" ht="12.5">
      <c r="H275" s="14"/>
      <c r="I275" s="14"/>
    </row>
    <row r="276" spans="8:9" ht="12.5">
      <c r="H276" s="14"/>
      <c r="I276" s="14"/>
    </row>
    <row r="277" spans="8:9" ht="12.5">
      <c r="H277" s="14"/>
      <c r="I277" s="14"/>
    </row>
    <row r="278" spans="8:9" ht="12.5">
      <c r="H278" s="14"/>
      <c r="I278" s="14"/>
    </row>
    <row r="279" spans="8:9" ht="12.5">
      <c r="H279" s="14"/>
      <c r="I279" s="14"/>
    </row>
    <row r="280" spans="8:9" ht="12.5">
      <c r="H280" s="14"/>
      <c r="I280" s="14"/>
    </row>
    <row r="281" spans="8:9" ht="12.5">
      <c r="H281" s="14"/>
      <c r="I281" s="14"/>
    </row>
    <row r="282" spans="8:9" ht="12.5">
      <c r="H282" s="14"/>
      <c r="I282" s="14"/>
    </row>
    <row r="283" spans="8:9" ht="12.5">
      <c r="H283" s="14"/>
      <c r="I283" s="14"/>
    </row>
    <row r="284" spans="8:9" ht="12.5">
      <c r="H284" s="14"/>
      <c r="I284" s="14"/>
    </row>
    <row r="285" spans="8:9" ht="12.5">
      <c r="H285" s="14"/>
      <c r="I285" s="14"/>
    </row>
    <row r="286" spans="8:9" ht="12.5">
      <c r="H286" s="14"/>
      <c r="I286" s="14"/>
    </row>
    <row r="287" spans="8:9" ht="12.5">
      <c r="H287" s="14"/>
      <c r="I287" s="14"/>
    </row>
    <row r="288" spans="8:9" ht="12.5">
      <c r="H288" s="14"/>
      <c r="I288" s="14"/>
    </row>
    <row r="289" spans="8:9" ht="12.5">
      <c r="H289" s="14"/>
      <c r="I289" s="14"/>
    </row>
    <row r="290" spans="8:9" ht="12.5">
      <c r="H290" s="14"/>
      <c r="I290" s="14"/>
    </row>
    <row r="291" spans="8:9" ht="12.5">
      <c r="H291" s="14"/>
      <c r="I291" s="14"/>
    </row>
    <row r="292" spans="8:9" ht="12.5">
      <c r="H292" s="14"/>
      <c r="I292" s="14"/>
    </row>
    <row r="293" spans="8:9" ht="12.5">
      <c r="H293" s="14"/>
      <c r="I293" s="14"/>
    </row>
    <row r="294" spans="8:9" ht="12.5">
      <c r="H294" s="14"/>
      <c r="I294" s="14"/>
    </row>
    <row r="295" spans="8:9" ht="12.5">
      <c r="H295" s="14"/>
      <c r="I295" s="14"/>
    </row>
    <row r="296" spans="8:9" ht="12.5">
      <c r="H296" s="14"/>
      <c r="I296" s="14"/>
    </row>
    <row r="297" spans="8:9" ht="12.5">
      <c r="H297" s="14"/>
      <c r="I297" s="14"/>
    </row>
    <row r="298" spans="8:9" ht="12.5">
      <c r="H298" s="14"/>
      <c r="I298" s="14"/>
    </row>
    <row r="299" spans="8:9" ht="12.5">
      <c r="H299" s="14"/>
      <c r="I299" s="14"/>
    </row>
    <row r="300" spans="8:9" ht="12.5">
      <c r="H300" s="14"/>
      <c r="I300" s="14"/>
    </row>
    <row r="301" spans="8:9" ht="12.5">
      <c r="H301" s="14"/>
      <c r="I301" s="14"/>
    </row>
    <row r="302" spans="8:9" ht="12.5">
      <c r="H302" s="14"/>
      <c r="I302" s="14"/>
    </row>
    <row r="303" spans="8:9" ht="12.5">
      <c r="H303" s="14"/>
      <c r="I303" s="14"/>
    </row>
    <row r="304" spans="8:9" ht="12.5">
      <c r="H304" s="14"/>
      <c r="I304" s="14"/>
    </row>
    <row r="305" spans="8:9" ht="12.5">
      <c r="H305" s="14"/>
      <c r="I305" s="14"/>
    </row>
    <row r="306" spans="8:9" ht="12.5">
      <c r="H306" s="14"/>
      <c r="I306" s="14"/>
    </row>
    <row r="307" spans="8:9" ht="12.5">
      <c r="H307" s="14"/>
      <c r="I307" s="14"/>
    </row>
    <row r="308" spans="8:9" ht="12.5">
      <c r="H308" s="14"/>
      <c r="I308" s="14"/>
    </row>
    <row r="309" spans="8:9" ht="12.5">
      <c r="H309" s="14"/>
      <c r="I309" s="14"/>
    </row>
    <row r="310" spans="8:9" ht="12.5">
      <c r="H310" s="14"/>
      <c r="I310" s="14"/>
    </row>
    <row r="311" spans="8:9" ht="12.5">
      <c r="H311" s="14"/>
      <c r="I311" s="14"/>
    </row>
    <row r="312" spans="8:9" ht="12.5">
      <c r="H312" s="14"/>
      <c r="I312" s="14"/>
    </row>
    <row r="313" spans="8:9" ht="12.5">
      <c r="H313" s="14"/>
      <c r="I313" s="14"/>
    </row>
    <row r="314" spans="8:9" ht="12.5">
      <c r="H314" s="14"/>
      <c r="I314" s="14"/>
    </row>
    <row r="315" spans="8:9" ht="12.5">
      <c r="H315" s="14"/>
      <c r="I315" s="14"/>
    </row>
    <row r="316" spans="8:9" ht="12.5">
      <c r="H316" s="14"/>
      <c r="I316" s="14"/>
    </row>
    <row r="317" spans="8:9" ht="12.5">
      <c r="H317" s="14"/>
      <c r="I317" s="14"/>
    </row>
    <row r="318" spans="8:9" ht="12.5">
      <c r="H318" s="14"/>
      <c r="I318" s="14"/>
    </row>
    <row r="319" spans="8:9" ht="12.5">
      <c r="H319" s="14"/>
      <c r="I319" s="14"/>
    </row>
    <row r="320" spans="8:9" ht="12.5">
      <c r="H320" s="14"/>
      <c r="I320" s="14"/>
    </row>
    <row r="321" spans="8:9" ht="12.5">
      <c r="H321" s="14"/>
      <c r="I321" s="14"/>
    </row>
    <row r="322" spans="8:9" ht="12.5">
      <c r="H322" s="14"/>
      <c r="I322" s="14"/>
    </row>
    <row r="323" spans="8:9" ht="12.5">
      <c r="H323" s="14"/>
      <c r="I323" s="14"/>
    </row>
    <row r="324" spans="8:9" ht="12.5">
      <c r="H324" s="14"/>
      <c r="I324" s="14"/>
    </row>
    <row r="325" spans="8:9" ht="12.5">
      <c r="H325" s="14"/>
      <c r="I325" s="14"/>
    </row>
    <row r="326" spans="8:9" ht="12.5">
      <c r="H326" s="14"/>
      <c r="I326" s="14"/>
    </row>
    <row r="327" spans="8:9" ht="12.5">
      <c r="H327" s="14"/>
      <c r="I327" s="14"/>
    </row>
    <row r="328" spans="8:9" ht="12.5">
      <c r="H328" s="14"/>
      <c r="I328" s="14"/>
    </row>
    <row r="329" spans="8:9" ht="12.5">
      <c r="H329" s="14"/>
      <c r="I329" s="14"/>
    </row>
    <row r="330" spans="8:9" ht="12.5">
      <c r="H330" s="14"/>
      <c r="I330" s="14"/>
    </row>
    <row r="331" spans="8:9" ht="12.5">
      <c r="H331" s="14"/>
      <c r="I331" s="14"/>
    </row>
    <row r="332" spans="8:9" ht="12.5">
      <c r="H332" s="14"/>
      <c r="I332" s="14"/>
    </row>
    <row r="333" spans="8:9" ht="12.5">
      <c r="H333" s="14"/>
      <c r="I333" s="14"/>
    </row>
    <row r="334" spans="8:9" ht="12.5">
      <c r="H334" s="14"/>
      <c r="I334" s="14"/>
    </row>
    <row r="335" spans="8:9" ht="12.5">
      <c r="H335" s="14"/>
      <c r="I335" s="14"/>
    </row>
    <row r="336" spans="8:9" ht="12.5">
      <c r="H336" s="14"/>
      <c r="I336" s="14"/>
    </row>
    <row r="337" spans="8:9" ht="12.5">
      <c r="H337" s="14"/>
      <c r="I337" s="14"/>
    </row>
    <row r="338" spans="8:9" ht="12.5">
      <c r="H338" s="14"/>
      <c r="I338" s="14"/>
    </row>
    <row r="339" spans="8:9" ht="12.5">
      <c r="H339" s="14"/>
      <c r="I339" s="14"/>
    </row>
    <row r="340" spans="8:9" ht="12.5">
      <c r="H340" s="14"/>
      <c r="I340" s="14"/>
    </row>
    <row r="341" spans="8:9" ht="12.5">
      <c r="H341" s="14"/>
      <c r="I341" s="14"/>
    </row>
    <row r="342" spans="8:9" ht="12.5">
      <c r="H342" s="14"/>
      <c r="I342" s="14"/>
    </row>
    <row r="343" spans="8:9" ht="12.5">
      <c r="H343" s="14"/>
      <c r="I343" s="14"/>
    </row>
    <row r="344" spans="8:9" ht="12.5">
      <c r="H344" s="14"/>
      <c r="I344" s="14"/>
    </row>
    <row r="345" spans="8:9" ht="12.5">
      <c r="H345" s="14"/>
      <c r="I345" s="14"/>
    </row>
    <row r="346" spans="8:9" ht="12.5">
      <c r="H346" s="14"/>
      <c r="I346" s="14"/>
    </row>
    <row r="347" spans="8:9" ht="12.5">
      <c r="H347" s="14"/>
      <c r="I347" s="14"/>
    </row>
    <row r="348" spans="8:9" ht="12.5">
      <c r="H348" s="14"/>
      <c r="I348" s="14"/>
    </row>
    <row r="349" spans="8:9" ht="12.5">
      <c r="H349" s="14"/>
      <c r="I349" s="14"/>
    </row>
    <row r="350" spans="8:9" ht="12.5">
      <c r="H350" s="14"/>
      <c r="I350" s="14"/>
    </row>
    <row r="351" spans="8:9" ht="12.5">
      <c r="H351" s="14"/>
      <c r="I351" s="14"/>
    </row>
    <row r="352" spans="8:9" ht="12.5">
      <c r="H352" s="14"/>
      <c r="I352" s="14"/>
    </row>
    <row r="353" spans="8:9" ht="12.5">
      <c r="H353" s="14"/>
      <c r="I353" s="14"/>
    </row>
    <row r="354" spans="8:9" ht="12.5">
      <c r="H354" s="14"/>
      <c r="I354" s="14"/>
    </row>
    <row r="355" spans="8:9" ht="12.5">
      <c r="H355" s="14"/>
      <c r="I355" s="14"/>
    </row>
    <row r="356" spans="8:9" ht="12.5">
      <c r="H356" s="14"/>
      <c r="I356" s="14"/>
    </row>
    <row r="357" spans="8:9" ht="12.5">
      <c r="H357" s="14"/>
      <c r="I357" s="14"/>
    </row>
    <row r="358" spans="8:9" ht="12.5">
      <c r="H358" s="14"/>
      <c r="I358" s="14"/>
    </row>
    <row r="359" spans="8:9" ht="12.5">
      <c r="H359" s="14"/>
      <c r="I359" s="14"/>
    </row>
    <row r="360" spans="8:9" ht="12.5">
      <c r="H360" s="14"/>
      <c r="I360" s="14"/>
    </row>
    <row r="361" spans="8:9" ht="12.5">
      <c r="H361" s="14"/>
      <c r="I361" s="14"/>
    </row>
    <row r="362" spans="8:9" ht="12.5">
      <c r="H362" s="14"/>
      <c r="I362" s="14"/>
    </row>
    <row r="363" spans="8:9" ht="12.5">
      <c r="H363" s="14"/>
      <c r="I363" s="14"/>
    </row>
    <row r="364" spans="8:9" ht="12.5">
      <c r="H364" s="14"/>
      <c r="I364" s="14"/>
    </row>
    <row r="365" spans="8:9" ht="12.5">
      <c r="H365" s="14"/>
      <c r="I365" s="14"/>
    </row>
    <row r="366" spans="8:9" ht="12.5">
      <c r="H366" s="14"/>
      <c r="I366" s="14"/>
    </row>
    <row r="367" spans="8:9" ht="12.5">
      <c r="H367" s="14"/>
      <c r="I367" s="14"/>
    </row>
    <row r="368" spans="8:9" ht="12.5">
      <c r="H368" s="14"/>
      <c r="I368" s="14"/>
    </row>
    <row r="369" spans="8:9" ht="12.5">
      <c r="H369" s="14"/>
      <c r="I369" s="14"/>
    </row>
    <row r="370" spans="8:9" ht="12.5">
      <c r="H370" s="14"/>
      <c r="I370" s="14"/>
    </row>
    <row r="371" spans="8:9" ht="12.5">
      <c r="H371" s="14"/>
      <c r="I371" s="14"/>
    </row>
    <row r="372" spans="8:9" ht="12.5">
      <c r="H372" s="14"/>
      <c r="I372" s="14"/>
    </row>
    <row r="373" spans="8:9" ht="12.5">
      <c r="H373" s="14"/>
      <c r="I373" s="14"/>
    </row>
    <row r="374" spans="8:9" ht="12.5">
      <c r="H374" s="14"/>
      <c r="I374" s="14"/>
    </row>
    <row r="375" spans="8:9" ht="12.5">
      <c r="H375" s="14"/>
      <c r="I375" s="14"/>
    </row>
    <row r="376" spans="8:9" ht="12.5">
      <c r="H376" s="14"/>
      <c r="I376" s="14"/>
    </row>
    <row r="377" spans="8:9" ht="12.5">
      <c r="H377" s="14"/>
      <c r="I377" s="14"/>
    </row>
    <row r="378" spans="8:9" ht="12.5">
      <c r="H378" s="14"/>
      <c r="I378" s="14"/>
    </row>
    <row r="379" spans="8:9" ht="12.5">
      <c r="H379" s="14"/>
      <c r="I379" s="14"/>
    </row>
    <row r="380" spans="8:9" ht="12.5">
      <c r="H380" s="14"/>
      <c r="I380" s="14"/>
    </row>
    <row r="381" spans="8:9" ht="12.5">
      <c r="H381" s="14"/>
      <c r="I381" s="14"/>
    </row>
    <row r="382" spans="8:9" ht="12.5">
      <c r="H382" s="14"/>
      <c r="I382" s="14"/>
    </row>
    <row r="383" spans="8:9" ht="12.5">
      <c r="H383" s="14"/>
      <c r="I383" s="14"/>
    </row>
    <row r="384" spans="8:9" ht="12.5">
      <c r="H384" s="14"/>
      <c r="I384" s="14"/>
    </row>
    <row r="385" spans="8:9" ht="12.5">
      <c r="H385" s="14"/>
      <c r="I385" s="14"/>
    </row>
    <row r="386" spans="8:9" ht="12.5">
      <c r="H386" s="14"/>
      <c r="I386" s="14"/>
    </row>
    <row r="387" spans="8:9" ht="12.5">
      <c r="H387" s="14"/>
      <c r="I387" s="14"/>
    </row>
    <row r="388" spans="8:9" ht="12.5">
      <c r="H388" s="14"/>
      <c r="I388" s="14"/>
    </row>
    <row r="389" spans="8:9" ht="12.5">
      <c r="H389" s="14"/>
      <c r="I389" s="14"/>
    </row>
    <row r="390" spans="8:9" ht="12.5">
      <c r="H390" s="14"/>
      <c r="I390" s="14"/>
    </row>
    <row r="391" spans="8:9" ht="12.5">
      <c r="H391" s="14"/>
      <c r="I391" s="14"/>
    </row>
    <row r="392" spans="8:9" ht="12.5">
      <c r="H392" s="14"/>
      <c r="I392" s="14"/>
    </row>
    <row r="393" spans="8:9" ht="12.5">
      <c r="H393" s="14"/>
      <c r="I393" s="14"/>
    </row>
    <row r="394" spans="8:9" ht="12.5">
      <c r="H394" s="14"/>
      <c r="I394" s="14"/>
    </row>
    <row r="395" spans="8:9" ht="12.5">
      <c r="H395" s="14"/>
      <c r="I395" s="14"/>
    </row>
    <row r="396" spans="8:9" ht="12.5">
      <c r="H396" s="14"/>
      <c r="I396" s="14"/>
    </row>
    <row r="397" spans="8:9" ht="12.5">
      <c r="H397" s="14"/>
      <c r="I397" s="14"/>
    </row>
    <row r="398" spans="8:9" ht="12.5">
      <c r="H398" s="14"/>
      <c r="I398" s="14"/>
    </row>
    <row r="399" spans="8:9" ht="12.5">
      <c r="H399" s="14"/>
      <c r="I399" s="14"/>
    </row>
    <row r="400" spans="8:9" ht="12.5">
      <c r="H400" s="14"/>
      <c r="I400" s="14"/>
    </row>
    <row r="401" spans="8:9" ht="12.5">
      <c r="H401" s="14"/>
      <c r="I401" s="14"/>
    </row>
    <row r="402" spans="8:9" ht="12.5">
      <c r="H402" s="14"/>
      <c r="I402" s="14"/>
    </row>
    <row r="403" spans="8:9" ht="12.5">
      <c r="H403" s="14"/>
      <c r="I403" s="14"/>
    </row>
    <row r="404" spans="8:9" ht="12.5">
      <c r="H404" s="14"/>
      <c r="I404" s="14"/>
    </row>
    <row r="405" spans="8:9" ht="12.5">
      <c r="H405" s="14"/>
      <c r="I405" s="14"/>
    </row>
    <row r="406" spans="8:9" ht="12.5">
      <c r="H406" s="14"/>
      <c r="I406" s="14"/>
    </row>
    <row r="407" spans="8:9" ht="12.5">
      <c r="H407" s="14"/>
      <c r="I407" s="14"/>
    </row>
    <row r="408" spans="8:9" ht="12.5">
      <c r="H408" s="14"/>
      <c r="I408" s="14"/>
    </row>
    <row r="409" spans="8:9" ht="12.5">
      <c r="H409" s="14"/>
      <c r="I409" s="14"/>
    </row>
    <row r="410" spans="8:9" ht="12.5">
      <c r="H410" s="14"/>
      <c r="I410" s="14"/>
    </row>
    <row r="411" spans="8:9" ht="12.5">
      <c r="H411" s="14"/>
      <c r="I411" s="14"/>
    </row>
    <row r="412" spans="8:9" ht="12.5">
      <c r="H412" s="14"/>
      <c r="I412" s="14"/>
    </row>
    <row r="413" spans="8:9" ht="12.5">
      <c r="H413" s="14"/>
      <c r="I413" s="14"/>
    </row>
    <row r="414" spans="8:9" ht="12.5">
      <c r="H414" s="14"/>
      <c r="I414" s="14"/>
    </row>
    <row r="415" spans="8:9" ht="12.5">
      <c r="H415" s="14"/>
      <c r="I415" s="14"/>
    </row>
    <row r="416" spans="8:9" ht="12.5">
      <c r="H416" s="14"/>
      <c r="I416" s="14"/>
    </row>
    <row r="417" spans="8:9" ht="12.5">
      <c r="H417" s="14"/>
      <c r="I417" s="14"/>
    </row>
    <row r="418" spans="8:9" ht="12.5">
      <c r="H418" s="14"/>
      <c r="I418" s="14"/>
    </row>
    <row r="419" spans="8:9" ht="12.5">
      <c r="H419" s="14"/>
      <c r="I419" s="14"/>
    </row>
    <row r="420" spans="8:9" ht="12.5">
      <c r="H420" s="14"/>
      <c r="I420" s="14"/>
    </row>
    <row r="421" spans="8:9" ht="12.5">
      <c r="H421" s="14"/>
      <c r="I421" s="14"/>
    </row>
    <row r="422" spans="8:9" ht="12.5">
      <c r="H422" s="14"/>
      <c r="I422" s="14"/>
    </row>
    <row r="423" spans="8:9" ht="12.5">
      <c r="H423" s="14"/>
      <c r="I423" s="14"/>
    </row>
    <row r="424" spans="8:9" ht="12.5">
      <c r="H424" s="14"/>
      <c r="I424" s="14"/>
    </row>
    <row r="425" spans="8:9" ht="12.5">
      <c r="H425" s="14"/>
      <c r="I425" s="14"/>
    </row>
    <row r="426" spans="8:9" ht="12.5">
      <c r="H426" s="14"/>
      <c r="I426" s="14"/>
    </row>
    <row r="427" spans="8:9" ht="12.5">
      <c r="H427" s="14"/>
      <c r="I427" s="14"/>
    </row>
    <row r="428" spans="8:9" ht="12.5">
      <c r="H428" s="14"/>
      <c r="I428" s="14"/>
    </row>
    <row r="429" spans="8:9" ht="12.5">
      <c r="H429" s="14"/>
      <c r="I429" s="14"/>
    </row>
    <row r="430" spans="8:9" ht="12.5">
      <c r="H430" s="14"/>
      <c r="I430" s="14"/>
    </row>
    <row r="431" spans="8:9" ht="12.5">
      <c r="H431" s="14"/>
      <c r="I431" s="14"/>
    </row>
    <row r="432" spans="8:9" ht="12.5">
      <c r="H432" s="14"/>
      <c r="I432" s="14"/>
    </row>
    <row r="433" spans="8:9" ht="12.5">
      <c r="H433" s="14"/>
      <c r="I433" s="14"/>
    </row>
    <row r="434" spans="8:9" ht="12.5">
      <c r="H434" s="14"/>
      <c r="I434" s="14"/>
    </row>
    <row r="435" spans="8:9" ht="12.5">
      <c r="H435" s="14"/>
      <c r="I435" s="14"/>
    </row>
    <row r="436" spans="8:9" ht="12.5">
      <c r="H436" s="14"/>
      <c r="I436" s="14"/>
    </row>
    <row r="437" spans="8:9" ht="12.5">
      <c r="H437" s="14"/>
      <c r="I437" s="14"/>
    </row>
    <row r="438" spans="8:9" ht="12.5">
      <c r="H438" s="14"/>
      <c r="I438" s="14"/>
    </row>
    <row r="439" spans="8:9" ht="12.5">
      <c r="H439" s="14"/>
      <c r="I439" s="14"/>
    </row>
    <row r="440" spans="8:9" ht="12.5">
      <c r="H440" s="14"/>
      <c r="I440" s="14"/>
    </row>
    <row r="441" spans="8:9" ht="12.5">
      <c r="H441" s="14"/>
      <c r="I441" s="14"/>
    </row>
    <row r="442" spans="8:9" ht="12.5">
      <c r="H442" s="14"/>
      <c r="I442" s="14"/>
    </row>
    <row r="443" spans="8:9" ht="12.5">
      <c r="H443" s="14"/>
      <c r="I443" s="14"/>
    </row>
    <row r="444" spans="8:9" ht="12.5">
      <c r="H444" s="14"/>
      <c r="I444" s="14"/>
    </row>
    <row r="445" spans="8:9" ht="12.5">
      <c r="H445" s="14"/>
      <c r="I445" s="14"/>
    </row>
    <row r="446" spans="8:9" ht="12.5">
      <c r="H446" s="14"/>
      <c r="I446" s="14"/>
    </row>
    <row r="447" spans="8:9" ht="12.5">
      <c r="H447" s="14"/>
      <c r="I447" s="14"/>
    </row>
    <row r="448" spans="8:9" ht="12.5">
      <c r="H448" s="14"/>
      <c r="I448" s="14"/>
    </row>
    <row r="449" spans="8:9" ht="12.5">
      <c r="H449" s="14"/>
      <c r="I449" s="14"/>
    </row>
    <row r="450" spans="8:9" ht="12.5">
      <c r="H450" s="14"/>
      <c r="I450" s="14"/>
    </row>
    <row r="451" spans="8:9" ht="12.5">
      <c r="H451" s="14"/>
      <c r="I451" s="14"/>
    </row>
    <row r="452" spans="8:9" ht="12.5">
      <c r="H452" s="14"/>
      <c r="I452" s="14"/>
    </row>
    <row r="453" spans="8:9" ht="12.5">
      <c r="H453" s="14"/>
      <c r="I453" s="14"/>
    </row>
    <row r="454" spans="8:9" ht="12.5">
      <c r="H454" s="14"/>
      <c r="I454" s="14"/>
    </row>
    <row r="455" spans="8:9" ht="12.5">
      <c r="H455" s="14"/>
      <c r="I455" s="14"/>
    </row>
    <row r="456" spans="8:9" ht="12.5">
      <c r="H456" s="14"/>
      <c r="I456" s="14"/>
    </row>
    <row r="457" spans="8:9" ht="12.5">
      <c r="H457" s="14"/>
      <c r="I457" s="14"/>
    </row>
    <row r="458" spans="8:9" ht="12.5">
      <c r="H458" s="14"/>
      <c r="I458" s="14"/>
    </row>
    <row r="459" spans="8:9" ht="12.5">
      <c r="H459" s="14"/>
      <c r="I459" s="14"/>
    </row>
    <row r="460" spans="8:9" ht="12.5">
      <c r="H460" s="14"/>
      <c r="I460" s="14"/>
    </row>
    <row r="461" spans="8:9" ht="12.5">
      <c r="H461" s="14"/>
      <c r="I461" s="14"/>
    </row>
    <row r="462" spans="8:9" ht="12.5">
      <c r="H462" s="14"/>
      <c r="I462" s="14"/>
    </row>
    <row r="463" spans="8:9" ht="12.5">
      <c r="H463" s="14"/>
      <c r="I463" s="14"/>
    </row>
    <row r="464" spans="8:9" ht="12.5">
      <c r="H464" s="14"/>
      <c r="I464" s="14"/>
    </row>
    <row r="465" spans="8:9" ht="12.5">
      <c r="H465" s="14"/>
      <c r="I465" s="14"/>
    </row>
    <row r="466" spans="8:9" ht="12.5">
      <c r="H466" s="14"/>
      <c r="I466" s="14"/>
    </row>
    <row r="467" spans="8:9" ht="12.5">
      <c r="H467" s="14"/>
      <c r="I467" s="14"/>
    </row>
    <row r="468" spans="8:9" ht="12.5">
      <c r="H468" s="14"/>
      <c r="I468" s="14"/>
    </row>
    <row r="469" spans="8:9" ht="12.5">
      <c r="H469" s="14"/>
      <c r="I469" s="14"/>
    </row>
    <row r="470" spans="8:9" ht="12.5">
      <c r="H470" s="14"/>
      <c r="I470" s="14"/>
    </row>
    <row r="471" spans="8:9" ht="12.5">
      <c r="H471" s="14"/>
      <c r="I471" s="14"/>
    </row>
    <row r="472" spans="8:9" ht="12.5">
      <c r="H472" s="14"/>
      <c r="I472" s="14"/>
    </row>
    <row r="473" spans="8:9" ht="12.5">
      <c r="H473" s="14"/>
      <c r="I473" s="14"/>
    </row>
    <row r="474" spans="8:9" ht="12.5">
      <c r="H474" s="14"/>
      <c r="I474" s="14"/>
    </row>
    <row r="475" spans="8:9" ht="12.5">
      <c r="H475" s="14"/>
      <c r="I475" s="14"/>
    </row>
    <row r="476" spans="8:9" ht="12.5">
      <c r="H476" s="14"/>
      <c r="I476" s="14"/>
    </row>
    <row r="477" spans="8:9" ht="12.5">
      <c r="H477" s="14"/>
      <c r="I477" s="14"/>
    </row>
    <row r="478" spans="8:9" ht="12.5">
      <c r="H478" s="14"/>
      <c r="I478" s="14"/>
    </row>
    <row r="479" spans="8:9" ht="12.5">
      <c r="H479" s="14"/>
      <c r="I479" s="14"/>
    </row>
    <row r="480" spans="8:9" ht="12.5">
      <c r="H480" s="14"/>
      <c r="I480" s="14"/>
    </row>
    <row r="481" spans="8:9" ht="12.5">
      <c r="H481" s="14"/>
      <c r="I481" s="14"/>
    </row>
    <row r="482" spans="8:9" ht="12.5">
      <c r="H482" s="14"/>
      <c r="I482" s="14"/>
    </row>
    <row r="483" spans="8:9" ht="12.5">
      <c r="H483" s="14"/>
      <c r="I483" s="14"/>
    </row>
    <row r="484" spans="8:9" ht="12.5">
      <c r="H484" s="14"/>
      <c r="I484" s="14"/>
    </row>
    <row r="485" spans="8:9" ht="12.5">
      <c r="H485" s="14"/>
      <c r="I485" s="14"/>
    </row>
    <row r="486" spans="8:9" ht="12.5">
      <c r="H486" s="14"/>
      <c r="I486" s="14"/>
    </row>
    <row r="487" spans="8:9" ht="12.5">
      <c r="H487" s="14"/>
      <c r="I487" s="14"/>
    </row>
    <row r="488" spans="8:9" ht="12.5">
      <c r="H488" s="14"/>
      <c r="I488" s="14"/>
    </row>
    <row r="489" spans="8:9" ht="12.5">
      <c r="H489" s="14"/>
      <c r="I489" s="14"/>
    </row>
    <row r="490" spans="8:9" ht="12.5">
      <c r="H490" s="14"/>
      <c r="I490" s="14"/>
    </row>
    <row r="491" spans="8:9" ht="12.5">
      <c r="H491" s="14"/>
      <c r="I491" s="14"/>
    </row>
    <row r="492" spans="8:9" ht="12.5">
      <c r="H492" s="14"/>
      <c r="I492" s="14"/>
    </row>
    <row r="493" spans="8:9" ht="12.5">
      <c r="H493" s="14"/>
      <c r="I493" s="14"/>
    </row>
    <row r="494" spans="8:9" ht="12.5">
      <c r="H494" s="14"/>
      <c r="I494" s="14"/>
    </row>
    <row r="495" spans="8:9" ht="12.5">
      <c r="H495" s="14"/>
      <c r="I495" s="14"/>
    </row>
    <row r="496" spans="8:9" ht="12.5">
      <c r="H496" s="14"/>
      <c r="I496" s="14"/>
    </row>
    <row r="497" spans="8:9" ht="12.5">
      <c r="H497" s="14"/>
      <c r="I497" s="14"/>
    </row>
    <row r="498" spans="8:9" ht="12.5">
      <c r="H498" s="14"/>
      <c r="I498" s="14"/>
    </row>
    <row r="499" spans="8:9" ht="12.5">
      <c r="H499" s="14"/>
      <c r="I499" s="14"/>
    </row>
    <row r="500" spans="8:9" ht="12.5">
      <c r="H500" s="14"/>
      <c r="I500" s="14"/>
    </row>
    <row r="501" spans="8:9" ht="12.5">
      <c r="H501" s="14"/>
      <c r="I501" s="14"/>
    </row>
    <row r="502" spans="8:9" ht="12.5">
      <c r="H502" s="14"/>
      <c r="I502" s="14"/>
    </row>
    <row r="503" spans="8:9" ht="12.5">
      <c r="H503" s="14"/>
      <c r="I503" s="14"/>
    </row>
    <row r="504" spans="8:9" ht="12.5">
      <c r="H504" s="14"/>
      <c r="I504" s="14"/>
    </row>
    <row r="505" spans="8:9" ht="12.5">
      <c r="H505" s="14"/>
      <c r="I505" s="14"/>
    </row>
    <row r="506" spans="8:9" ht="12.5">
      <c r="H506" s="14"/>
      <c r="I506" s="14"/>
    </row>
    <row r="507" spans="8:9" ht="12.5">
      <c r="H507" s="14"/>
      <c r="I507" s="14"/>
    </row>
    <row r="508" spans="8:9" ht="12.5">
      <c r="H508" s="14"/>
      <c r="I508" s="14"/>
    </row>
    <row r="509" spans="8:9" ht="12.5">
      <c r="H509" s="14"/>
      <c r="I509" s="14"/>
    </row>
    <row r="510" spans="8:9" ht="12.5">
      <c r="H510" s="14"/>
      <c r="I510" s="14"/>
    </row>
    <row r="511" spans="8:9" ht="12.5">
      <c r="H511" s="14"/>
      <c r="I511" s="14"/>
    </row>
    <row r="512" spans="8:9" ht="12.5">
      <c r="H512" s="14"/>
      <c r="I512" s="14"/>
    </row>
    <row r="513" spans="8:9" ht="12.5">
      <c r="H513" s="14"/>
      <c r="I513" s="14"/>
    </row>
    <row r="514" spans="8:9" ht="12.5">
      <c r="H514" s="14"/>
      <c r="I514" s="14"/>
    </row>
    <row r="515" spans="8:9" ht="12.5">
      <c r="H515" s="14"/>
      <c r="I515" s="14"/>
    </row>
    <row r="516" spans="8:9" ht="12.5">
      <c r="H516" s="14"/>
      <c r="I516" s="14"/>
    </row>
    <row r="517" spans="8:9" ht="12.5">
      <c r="H517" s="14"/>
      <c r="I517" s="14"/>
    </row>
    <row r="518" spans="8:9" ht="12.5">
      <c r="H518" s="14"/>
      <c r="I518" s="14"/>
    </row>
    <row r="519" spans="8:9" ht="12.5">
      <c r="H519" s="14"/>
      <c r="I519" s="14"/>
    </row>
    <row r="520" spans="8:9" ht="12.5">
      <c r="H520" s="14"/>
      <c r="I520" s="14"/>
    </row>
    <row r="521" spans="8:9" ht="12.5">
      <c r="H521" s="14"/>
      <c r="I521" s="14"/>
    </row>
    <row r="522" spans="8:9" ht="12.5">
      <c r="H522" s="14"/>
      <c r="I522" s="14"/>
    </row>
    <row r="523" spans="8:9" ht="12.5">
      <c r="H523" s="14"/>
      <c r="I523" s="14"/>
    </row>
    <row r="524" spans="8:9" ht="12.5">
      <c r="H524" s="14"/>
      <c r="I524" s="14"/>
    </row>
    <row r="525" spans="8:9" ht="12.5">
      <c r="H525" s="14"/>
      <c r="I525" s="14"/>
    </row>
    <row r="526" spans="8:9" ht="12.5">
      <c r="H526" s="14"/>
      <c r="I526" s="14"/>
    </row>
    <row r="527" spans="8:9" ht="12.5">
      <c r="H527" s="14"/>
      <c r="I527" s="14"/>
    </row>
    <row r="528" spans="8:9" ht="12.5">
      <c r="H528" s="14"/>
      <c r="I528" s="14"/>
    </row>
    <row r="529" spans="8:9" ht="12.5">
      <c r="H529" s="14"/>
      <c r="I529" s="14"/>
    </row>
    <row r="530" spans="8:9" ht="12.5">
      <c r="H530" s="14"/>
      <c r="I530" s="14"/>
    </row>
    <row r="531" spans="8:9" ht="12.5">
      <c r="H531" s="14"/>
      <c r="I531" s="14"/>
    </row>
    <row r="532" spans="8:9" ht="12.5">
      <c r="H532" s="14"/>
      <c r="I532" s="14"/>
    </row>
    <row r="533" spans="8:9" ht="12.5">
      <c r="H533" s="14"/>
      <c r="I533" s="14"/>
    </row>
    <row r="534" spans="8:9" ht="12.5">
      <c r="H534" s="14"/>
      <c r="I534" s="14"/>
    </row>
    <row r="535" spans="8:9" ht="12.5">
      <c r="H535" s="14"/>
      <c r="I535" s="14"/>
    </row>
    <row r="536" spans="8:9" ht="12.5">
      <c r="H536" s="14"/>
      <c r="I536" s="14"/>
    </row>
    <row r="537" spans="8:9" ht="12.5">
      <c r="H537" s="14"/>
      <c r="I537" s="14"/>
    </row>
    <row r="538" spans="8:9" ht="12.5">
      <c r="H538" s="14"/>
      <c r="I538" s="14"/>
    </row>
    <row r="539" spans="8:9" ht="12.5">
      <c r="H539" s="14"/>
      <c r="I539" s="14"/>
    </row>
    <row r="540" spans="8:9" ht="12.5">
      <c r="H540" s="14"/>
      <c r="I540" s="14"/>
    </row>
    <row r="541" spans="8:9" ht="12.5">
      <c r="H541" s="14"/>
      <c r="I541" s="14"/>
    </row>
    <row r="542" spans="8:9" ht="12.5">
      <c r="H542" s="14"/>
      <c r="I542" s="14"/>
    </row>
    <row r="543" spans="8:9" ht="12.5">
      <c r="H543" s="14"/>
      <c r="I543" s="14"/>
    </row>
    <row r="544" spans="8:9" ht="12.5">
      <c r="H544" s="14"/>
      <c r="I544" s="14"/>
    </row>
    <row r="545" spans="8:9" ht="12.5">
      <c r="H545" s="14"/>
      <c r="I545" s="14"/>
    </row>
    <row r="546" spans="8:9" ht="12.5">
      <c r="H546" s="14"/>
      <c r="I546" s="14"/>
    </row>
    <row r="547" spans="8:9" ht="12.5">
      <c r="H547" s="14"/>
      <c r="I547" s="14"/>
    </row>
    <row r="548" spans="8:9" ht="12.5">
      <c r="H548" s="14"/>
      <c r="I548" s="14"/>
    </row>
    <row r="549" spans="8:9" ht="12.5">
      <c r="H549" s="14"/>
      <c r="I549" s="14"/>
    </row>
    <row r="550" spans="8:9" ht="12.5">
      <c r="H550" s="14"/>
      <c r="I550" s="14"/>
    </row>
    <row r="551" spans="8:9" ht="12.5">
      <c r="H551" s="14"/>
      <c r="I551" s="14"/>
    </row>
    <row r="552" spans="8:9" ht="12.5">
      <c r="H552" s="14"/>
      <c r="I552" s="14"/>
    </row>
    <row r="553" spans="8:9" ht="12.5">
      <c r="H553" s="14"/>
      <c r="I553" s="14"/>
    </row>
    <row r="554" spans="8:9" ht="12.5">
      <c r="H554" s="14"/>
      <c r="I554" s="14"/>
    </row>
    <row r="555" spans="8:9" ht="12.5">
      <c r="H555" s="14"/>
      <c r="I555" s="14"/>
    </row>
    <row r="556" spans="8:9" ht="12.5">
      <c r="H556" s="14"/>
      <c r="I556" s="14"/>
    </row>
    <row r="557" spans="8:9" ht="12.5">
      <c r="H557" s="14"/>
      <c r="I557" s="14"/>
    </row>
    <row r="558" spans="8:9" ht="12.5">
      <c r="H558" s="14"/>
      <c r="I558" s="14"/>
    </row>
    <row r="559" spans="8:9" ht="12.5">
      <c r="H559" s="14"/>
      <c r="I559" s="14"/>
    </row>
    <row r="560" spans="8:9" ht="12.5">
      <c r="H560" s="14"/>
      <c r="I560" s="14"/>
    </row>
    <row r="561" spans="8:9" ht="12.5">
      <c r="H561" s="14"/>
      <c r="I561" s="14"/>
    </row>
    <row r="562" spans="8:9" ht="12.5">
      <c r="H562" s="14"/>
      <c r="I562" s="14"/>
    </row>
    <row r="563" spans="8:9" ht="12.5">
      <c r="H563" s="14"/>
      <c r="I563" s="14"/>
    </row>
    <row r="564" spans="8:9" ht="12.5">
      <c r="H564" s="14"/>
      <c r="I564" s="14"/>
    </row>
    <row r="565" spans="8:9" ht="12.5">
      <c r="H565" s="14"/>
      <c r="I565" s="14"/>
    </row>
    <row r="566" spans="8:9" ht="12.5">
      <c r="H566" s="14"/>
      <c r="I566" s="14"/>
    </row>
    <row r="567" spans="8:9" ht="12.5">
      <c r="H567" s="14"/>
      <c r="I567" s="14"/>
    </row>
    <row r="568" spans="8:9" ht="12.5">
      <c r="H568" s="14"/>
      <c r="I568" s="14"/>
    </row>
    <row r="569" spans="8:9" ht="12.5">
      <c r="H569" s="14"/>
      <c r="I569" s="14"/>
    </row>
    <row r="570" spans="8:9" ht="12.5">
      <c r="H570" s="14"/>
      <c r="I570" s="14"/>
    </row>
    <row r="571" spans="8:9" ht="12.5">
      <c r="H571" s="14"/>
      <c r="I571" s="14"/>
    </row>
    <row r="572" spans="8:9" ht="12.5">
      <c r="H572" s="14"/>
      <c r="I572" s="14"/>
    </row>
    <row r="573" spans="8:9" ht="12.5">
      <c r="H573" s="14"/>
      <c r="I573" s="14"/>
    </row>
    <row r="574" spans="8:9" ht="12.5">
      <c r="H574" s="14"/>
      <c r="I574" s="14"/>
    </row>
    <row r="575" spans="8:9" ht="12.5">
      <c r="H575" s="14"/>
      <c r="I575" s="14"/>
    </row>
    <row r="576" spans="8:9" ht="12.5">
      <c r="H576" s="14"/>
      <c r="I576" s="14"/>
    </row>
    <row r="577" spans="8:9" ht="12.5">
      <c r="H577" s="14"/>
      <c r="I577" s="14"/>
    </row>
    <row r="578" spans="8:9" ht="12.5">
      <c r="H578" s="14"/>
      <c r="I578" s="14"/>
    </row>
    <row r="579" spans="8:9" ht="12.5">
      <c r="H579" s="14"/>
      <c r="I579" s="14"/>
    </row>
    <row r="580" spans="8:9" ht="12.5">
      <c r="H580" s="14"/>
      <c r="I580" s="14"/>
    </row>
    <row r="581" spans="8:9" ht="12.5">
      <c r="H581" s="14"/>
      <c r="I581" s="14"/>
    </row>
    <row r="582" spans="8:9" ht="12.5">
      <c r="H582" s="14"/>
      <c r="I582" s="14"/>
    </row>
    <row r="583" spans="8:9" ht="12.5">
      <c r="H583" s="14"/>
      <c r="I583" s="14"/>
    </row>
    <row r="584" spans="8:9" ht="12.5">
      <c r="H584" s="14"/>
      <c r="I584" s="14"/>
    </row>
    <row r="585" spans="8:9" ht="12.5">
      <c r="H585" s="14"/>
      <c r="I585" s="14"/>
    </row>
    <row r="586" spans="8:9" ht="12.5">
      <c r="H586" s="14"/>
      <c r="I586" s="14"/>
    </row>
    <row r="587" spans="8:9" ht="12.5">
      <c r="H587" s="14"/>
      <c r="I587" s="14"/>
    </row>
    <row r="588" spans="8:9" ht="12.5">
      <c r="H588" s="14"/>
      <c r="I588" s="14"/>
    </row>
    <row r="589" spans="8:9" ht="12.5">
      <c r="H589" s="14"/>
      <c r="I589" s="14"/>
    </row>
    <row r="590" spans="8:9" ht="12.5">
      <c r="H590" s="14"/>
      <c r="I590" s="14"/>
    </row>
    <row r="591" spans="8:9" ht="12.5">
      <c r="H591" s="14"/>
      <c r="I591" s="14"/>
    </row>
    <row r="592" spans="8:9" ht="12.5">
      <c r="H592" s="14"/>
      <c r="I592" s="14"/>
    </row>
    <row r="593" spans="8:9" ht="12.5">
      <c r="H593" s="14"/>
      <c r="I593" s="14"/>
    </row>
    <row r="594" spans="8:9" ht="12.5">
      <c r="H594" s="14"/>
      <c r="I594" s="14"/>
    </row>
    <row r="595" spans="8:9" ht="12.5">
      <c r="H595" s="14"/>
      <c r="I595" s="14"/>
    </row>
    <row r="596" spans="8:9" ht="12.5">
      <c r="H596" s="14"/>
      <c r="I596" s="14"/>
    </row>
    <row r="597" spans="8:9" ht="12.5">
      <c r="H597" s="14"/>
      <c r="I597" s="14"/>
    </row>
    <row r="598" spans="8:9" ht="12.5">
      <c r="H598" s="14"/>
      <c r="I598" s="14"/>
    </row>
    <row r="599" spans="8:9" ht="12.5">
      <c r="H599" s="14"/>
      <c r="I599" s="14"/>
    </row>
    <row r="600" spans="8:9" ht="12.5">
      <c r="H600" s="14"/>
      <c r="I600" s="14"/>
    </row>
    <row r="601" spans="8:9" ht="12.5">
      <c r="H601" s="14"/>
      <c r="I601" s="14"/>
    </row>
    <row r="602" spans="8:9" ht="12.5">
      <c r="H602" s="14"/>
      <c r="I602" s="14"/>
    </row>
    <row r="603" spans="8:9" ht="12.5">
      <c r="H603" s="14"/>
      <c r="I603" s="14"/>
    </row>
    <row r="604" spans="8:9" ht="12.5">
      <c r="H604" s="14"/>
      <c r="I604" s="14"/>
    </row>
    <row r="605" spans="8:9" ht="12.5">
      <c r="H605" s="14"/>
      <c r="I605" s="14"/>
    </row>
    <row r="606" spans="8:9" ht="12.5">
      <c r="H606" s="14"/>
      <c r="I606" s="14"/>
    </row>
    <row r="607" spans="8:9" ht="12.5">
      <c r="H607" s="14"/>
      <c r="I607" s="14"/>
    </row>
    <row r="608" spans="8:9" ht="12.5">
      <c r="H608" s="14"/>
      <c r="I608" s="14"/>
    </row>
    <row r="609" spans="8:9" ht="12.5">
      <c r="H609" s="14"/>
      <c r="I609" s="14"/>
    </row>
    <row r="610" spans="8:9" ht="12.5">
      <c r="H610" s="14"/>
      <c r="I610" s="14"/>
    </row>
    <row r="611" spans="8:9" ht="12.5">
      <c r="H611" s="14"/>
      <c r="I611" s="14"/>
    </row>
    <row r="612" spans="8:9" ht="12.5">
      <c r="H612" s="14"/>
      <c r="I612" s="14"/>
    </row>
    <row r="613" spans="8:9" ht="12.5">
      <c r="H613" s="14"/>
      <c r="I613" s="14"/>
    </row>
    <row r="614" spans="8:9" ht="12.5">
      <c r="H614" s="14"/>
      <c r="I614" s="14"/>
    </row>
    <row r="615" spans="8:9" ht="12.5">
      <c r="H615" s="14"/>
      <c r="I615" s="14"/>
    </row>
    <row r="616" spans="8:9" ht="12.5">
      <c r="H616" s="14"/>
      <c r="I616" s="14"/>
    </row>
    <row r="617" spans="8:9" ht="12.5">
      <c r="H617" s="14"/>
      <c r="I617" s="14"/>
    </row>
    <row r="618" spans="8:9" ht="12.5">
      <c r="H618" s="14"/>
      <c r="I618" s="14"/>
    </row>
    <row r="619" spans="8:9" ht="12.5">
      <c r="H619" s="14"/>
      <c r="I619" s="14"/>
    </row>
    <row r="620" spans="8:9" ht="12.5">
      <c r="H620" s="14"/>
      <c r="I620" s="14"/>
    </row>
    <row r="621" spans="8:9" ht="12.5">
      <c r="H621" s="14"/>
      <c r="I621" s="14"/>
    </row>
    <row r="622" spans="8:9" ht="12.5">
      <c r="H622" s="14"/>
      <c r="I622" s="14"/>
    </row>
    <row r="623" spans="8:9" ht="12.5">
      <c r="H623" s="14"/>
      <c r="I623" s="14"/>
    </row>
    <row r="624" spans="8:9" ht="12.5">
      <c r="H624" s="14"/>
      <c r="I624" s="14"/>
    </row>
    <row r="625" spans="8:9" ht="12.5">
      <c r="H625" s="14"/>
      <c r="I625" s="14"/>
    </row>
    <row r="626" spans="8:9" ht="12.5">
      <c r="H626" s="14"/>
      <c r="I626" s="14"/>
    </row>
    <row r="627" spans="8:9" ht="12.5">
      <c r="H627" s="14"/>
      <c r="I627" s="14"/>
    </row>
    <row r="628" spans="8:9" ht="12.5">
      <c r="H628" s="14"/>
      <c r="I628" s="14"/>
    </row>
    <row r="629" spans="8:9" ht="12.5">
      <c r="H629" s="14"/>
      <c r="I629" s="14"/>
    </row>
    <row r="630" spans="8:9" ht="12.5">
      <c r="H630" s="14"/>
      <c r="I630" s="14"/>
    </row>
    <row r="631" spans="8:9" ht="12.5">
      <c r="H631" s="14"/>
      <c r="I631" s="14"/>
    </row>
    <row r="632" spans="8:9" ht="12.5">
      <c r="H632" s="14"/>
      <c r="I632" s="14"/>
    </row>
    <row r="633" spans="8:9" ht="12.5">
      <c r="H633" s="14"/>
      <c r="I633" s="14"/>
    </row>
    <row r="634" spans="8:9" ht="12.5">
      <c r="H634" s="14"/>
      <c r="I634" s="14"/>
    </row>
    <row r="635" spans="8:9" ht="12.5">
      <c r="H635" s="14"/>
      <c r="I635" s="14"/>
    </row>
    <row r="636" spans="8:9" ht="12.5">
      <c r="H636" s="14"/>
      <c r="I636" s="14"/>
    </row>
    <row r="637" spans="8:9" ht="12.5">
      <c r="H637" s="14"/>
      <c r="I637" s="14"/>
    </row>
    <row r="638" spans="8:9" ht="12.5">
      <c r="H638" s="14"/>
      <c r="I638" s="14"/>
    </row>
    <row r="639" spans="8:9" ht="12.5">
      <c r="H639" s="14"/>
      <c r="I639" s="14"/>
    </row>
    <row r="640" spans="8:9" ht="12.5">
      <c r="H640" s="14"/>
      <c r="I640" s="14"/>
    </row>
    <row r="641" spans="8:9" ht="12.5">
      <c r="H641" s="14"/>
      <c r="I641" s="14"/>
    </row>
    <row r="642" spans="8:9" ht="12.5">
      <c r="H642" s="14"/>
      <c r="I642" s="14"/>
    </row>
    <row r="643" spans="8:9" ht="12.5">
      <c r="H643" s="14"/>
      <c r="I643" s="14"/>
    </row>
    <row r="644" spans="8:9" ht="12.5">
      <c r="H644" s="14"/>
      <c r="I644" s="14"/>
    </row>
    <row r="645" spans="8:9" ht="12.5">
      <c r="H645" s="14"/>
      <c r="I645" s="14"/>
    </row>
    <row r="646" spans="8:9" ht="12.5">
      <c r="H646" s="14"/>
      <c r="I646" s="14"/>
    </row>
    <row r="647" spans="8:9" ht="12.5">
      <c r="H647" s="14"/>
      <c r="I647" s="14"/>
    </row>
    <row r="648" spans="8:9" ht="12.5">
      <c r="H648" s="14"/>
      <c r="I648" s="14"/>
    </row>
    <row r="649" spans="8:9" ht="12.5">
      <c r="H649" s="14"/>
      <c r="I649" s="14"/>
    </row>
    <row r="650" spans="8:9" ht="12.5">
      <c r="H650" s="14"/>
      <c r="I650" s="14"/>
    </row>
    <row r="651" spans="8:9" ht="12.5">
      <c r="H651" s="14"/>
      <c r="I651" s="14"/>
    </row>
    <row r="652" spans="8:9" ht="12.5">
      <c r="H652" s="14"/>
      <c r="I652" s="14"/>
    </row>
    <row r="653" spans="8:9" ht="12.5">
      <c r="H653" s="14"/>
      <c r="I653" s="14"/>
    </row>
    <row r="654" spans="8:9" ht="12.5">
      <c r="H654" s="14"/>
      <c r="I654" s="14"/>
    </row>
    <row r="655" spans="8:9" ht="12.5">
      <c r="H655" s="14"/>
      <c r="I655" s="14"/>
    </row>
    <row r="656" spans="8:9" ht="12.5">
      <c r="H656" s="14"/>
      <c r="I656" s="14"/>
    </row>
    <row r="657" spans="8:9" ht="12.5">
      <c r="H657" s="14"/>
      <c r="I657" s="14"/>
    </row>
    <row r="658" spans="8:9" ht="12.5">
      <c r="H658" s="14"/>
      <c r="I658" s="14"/>
    </row>
    <row r="659" spans="8:9" ht="12.5">
      <c r="H659" s="14"/>
      <c r="I659" s="14"/>
    </row>
    <row r="660" spans="8:9" ht="12.5">
      <c r="H660" s="14"/>
      <c r="I660" s="14"/>
    </row>
    <row r="661" spans="8:9" ht="12.5">
      <c r="H661" s="14"/>
      <c r="I661" s="14"/>
    </row>
    <row r="662" spans="8:9" ht="12.5">
      <c r="H662" s="14"/>
      <c r="I662" s="14"/>
    </row>
    <row r="663" spans="8:9" ht="12.5">
      <c r="H663" s="14"/>
      <c r="I663" s="14"/>
    </row>
    <row r="664" spans="8:9" ht="12.5">
      <c r="H664" s="14"/>
      <c r="I664" s="14"/>
    </row>
    <row r="665" spans="8:9" ht="12.5">
      <c r="H665" s="14"/>
      <c r="I665" s="14"/>
    </row>
    <row r="666" spans="8:9" ht="12.5">
      <c r="H666" s="14"/>
      <c r="I666" s="14"/>
    </row>
    <row r="667" spans="8:9" ht="12.5">
      <c r="H667" s="14"/>
      <c r="I667" s="14"/>
    </row>
    <row r="668" spans="8:9" ht="12.5">
      <c r="H668" s="14"/>
      <c r="I668" s="14"/>
    </row>
    <row r="669" spans="8:9" ht="12.5">
      <c r="H669" s="14"/>
      <c r="I669" s="14"/>
    </row>
    <row r="670" spans="8:9" ht="12.5">
      <c r="H670" s="14"/>
      <c r="I670" s="14"/>
    </row>
    <row r="671" spans="8:9" ht="12.5">
      <c r="H671" s="14"/>
      <c r="I671" s="14"/>
    </row>
    <row r="672" spans="8:9" ht="12.5">
      <c r="H672" s="14"/>
      <c r="I672" s="14"/>
    </row>
    <row r="673" spans="8:9" ht="12.5">
      <c r="H673" s="14"/>
      <c r="I673" s="14"/>
    </row>
    <row r="674" spans="8:9" ht="12.5">
      <c r="H674" s="14"/>
      <c r="I674" s="14"/>
    </row>
    <row r="675" spans="8:9" ht="12.5">
      <c r="H675" s="14"/>
      <c r="I675" s="14"/>
    </row>
    <row r="676" spans="8:9" ht="12.5">
      <c r="H676" s="14"/>
      <c r="I676" s="14"/>
    </row>
    <row r="677" spans="8:9" ht="12.5">
      <c r="H677" s="14"/>
      <c r="I677" s="14"/>
    </row>
    <row r="678" spans="8:9" ht="12.5">
      <c r="H678" s="14"/>
      <c r="I678" s="14"/>
    </row>
    <row r="679" spans="8:9" ht="12.5">
      <c r="H679" s="14"/>
      <c r="I679" s="14"/>
    </row>
    <row r="680" spans="8:9" ht="12.5">
      <c r="H680" s="14"/>
      <c r="I680" s="14"/>
    </row>
    <row r="681" spans="8:9" ht="12.5">
      <c r="H681" s="14"/>
      <c r="I681" s="14"/>
    </row>
    <row r="682" spans="8:9" ht="12.5">
      <c r="H682" s="14"/>
      <c r="I682" s="14"/>
    </row>
    <row r="683" spans="8:9" ht="12.5">
      <c r="H683" s="14"/>
      <c r="I683" s="14"/>
    </row>
    <row r="684" spans="8:9" ht="12.5">
      <c r="H684" s="14"/>
      <c r="I684" s="14"/>
    </row>
    <row r="685" spans="8:9" ht="12.5">
      <c r="H685" s="14"/>
      <c r="I685" s="14"/>
    </row>
    <row r="686" spans="8:9" ht="12.5">
      <c r="H686" s="14"/>
      <c r="I686" s="14"/>
    </row>
    <row r="687" spans="8:9" ht="12.5">
      <c r="H687" s="14"/>
      <c r="I687" s="14"/>
    </row>
    <row r="688" spans="8:9" ht="12.5">
      <c r="H688" s="14"/>
      <c r="I688" s="14"/>
    </row>
    <row r="689" spans="8:9" ht="12.5">
      <c r="H689" s="14"/>
      <c r="I689" s="14"/>
    </row>
    <row r="690" spans="8:9" ht="12.5">
      <c r="H690" s="14"/>
      <c r="I690" s="14"/>
    </row>
    <row r="691" spans="8:9" ht="12.5">
      <c r="H691" s="14"/>
      <c r="I691" s="14"/>
    </row>
    <row r="692" spans="8:9" ht="12.5">
      <c r="H692" s="14"/>
      <c r="I692" s="14"/>
    </row>
    <row r="693" spans="8:9" ht="12.5">
      <c r="H693" s="14"/>
      <c r="I693" s="14"/>
    </row>
    <row r="694" spans="8:9" ht="12.5">
      <c r="H694" s="14"/>
      <c r="I694" s="14"/>
    </row>
    <row r="695" spans="8:9" ht="12.5">
      <c r="H695" s="14"/>
      <c r="I695" s="14"/>
    </row>
    <row r="696" spans="8:9" ht="12.5">
      <c r="H696" s="14"/>
      <c r="I696" s="14"/>
    </row>
    <row r="697" spans="8:9" ht="12.5">
      <c r="H697" s="14"/>
      <c r="I697" s="14"/>
    </row>
    <row r="698" spans="8:9" ht="12.5">
      <c r="H698" s="14"/>
      <c r="I698" s="14"/>
    </row>
    <row r="699" spans="8:9" ht="12.5">
      <c r="H699" s="14"/>
      <c r="I699" s="14"/>
    </row>
    <row r="700" spans="8:9" ht="12.5">
      <c r="H700" s="14"/>
      <c r="I700" s="14"/>
    </row>
    <row r="701" spans="8:9" ht="12.5">
      <c r="H701" s="14"/>
      <c r="I701" s="14"/>
    </row>
    <row r="702" spans="8:9" ht="12.5">
      <c r="H702" s="14"/>
      <c r="I702" s="14"/>
    </row>
    <row r="703" spans="8:9" ht="12.5">
      <c r="H703" s="14"/>
      <c r="I703" s="14"/>
    </row>
    <row r="704" spans="8:9" ht="12.5">
      <c r="H704" s="14"/>
      <c r="I704" s="14"/>
    </row>
    <row r="705" spans="8:9" ht="12.5">
      <c r="H705" s="14"/>
      <c r="I705" s="14"/>
    </row>
    <row r="706" spans="8:9" ht="12.5">
      <c r="H706" s="14"/>
      <c r="I706" s="14"/>
    </row>
    <row r="707" spans="8:9" ht="12.5">
      <c r="H707" s="14"/>
      <c r="I707" s="14"/>
    </row>
    <row r="708" spans="8:9" ht="12.5">
      <c r="H708" s="14"/>
      <c r="I708" s="14"/>
    </row>
    <row r="709" spans="8:9" ht="12.5">
      <c r="H709" s="14"/>
      <c r="I709" s="14"/>
    </row>
    <row r="710" spans="8:9" ht="12.5">
      <c r="H710" s="14"/>
      <c r="I710" s="14"/>
    </row>
    <row r="711" spans="8:9" ht="12.5">
      <c r="H711" s="14"/>
      <c r="I711" s="14"/>
    </row>
    <row r="712" spans="8:9" ht="12.5">
      <c r="H712" s="14"/>
      <c r="I712" s="14"/>
    </row>
    <row r="713" spans="8:9" ht="12.5">
      <c r="H713" s="14"/>
      <c r="I713" s="14"/>
    </row>
    <row r="714" spans="8:9" ht="12.5">
      <c r="H714" s="14"/>
      <c r="I714" s="14"/>
    </row>
    <row r="715" spans="8:9" ht="12.5">
      <c r="H715" s="14"/>
      <c r="I715" s="14"/>
    </row>
    <row r="716" spans="8:9" ht="12.5">
      <c r="H716" s="14"/>
      <c r="I716" s="14"/>
    </row>
    <row r="717" spans="8:9" ht="12.5">
      <c r="H717" s="14"/>
      <c r="I717" s="14"/>
    </row>
    <row r="718" spans="8:9" ht="12.5">
      <c r="H718" s="14"/>
      <c r="I718" s="14"/>
    </row>
    <row r="719" spans="8:9" ht="12.5">
      <c r="H719" s="14"/>
      <c r="I719" s="14"/>
    </row>
    <row r="720" spans="8:9" ht="12.5">
      <c r="H720" s="14"/>
      <c r="I720" s="14"/>
    </row>
    <row r="721" spans="8:9" ht="12.5">
      <c r="H721" s="14"/>
      <c r="I721" s="14"/>
    </row>
    <row r="722" spans="8:9" ht="12.5">
      <c r="H722" s="14"/>
      <c r="I722" s="14"/>
    </row>
    <row r="723" spans="8:9" ht="12.5">
      <c r="H723" s="14"/>
      <c r="I723" s="14"/>
    </row>
    <row r="724" spans="8:9" ht="12.5">
      <c r="H724" s="14"/>
      <c r="I724" s="14"/>
    </row>
    <row r="725" spans="8:9" ht="12.5">
      <c r="H725" s="14"/>
      <c r="I725" s="14"/>
    </row>
    <row r="726" spans="8:9" ht="12.5">
      <c r="H726" s="14"/>
      <c r="I726" s="14"/>
    </row>
    <row r="727" spans="8:9" ht="12.5">
      <c r="H727" s="14"/>
      <c r="I727" s="14"/>
    </row>
    <row r="728" spans="8:9" ht="12.5">
      <c r="H728" s="14"/>
      <c r="I728" s="14"/>
    </row>
    <row r="729" spans="8:9" ht="12.5">
      <c r="H729" s="14"/>
      <c r="I729" s="14"/>
    </row>
    <row r="730" spans="8:9" ht="12.5">
      <c r="H730" s="14"/>
      <c r="I730" s="14"/>
    </row>
    <row r="731" spans="8:9" ht="12.5">
      <c r="H731" s="14"/>
      <c r="I731" s="14"/>
    </row>
    <row r="732" spans="8:9" ht="12.5">
      <c r="H732" s="14"/>
      <c r="I732" s="14"/>
    </row>
    <row r="733" spans="8:9" ht="12.5">
      <c r="H733" s="14"/>
      <c r="I733" s="14"/>
    </row>
    <row r="734" spans="8:9" ht="12.5">
      <c r="H734" s="14"/>
      <c r="I734" s="14"/>
    </row>
    <row r="735" spans="8:9" ht="12.5">
      <c r="H735" s="14"/>
      <c r="I735" s="14"/>
    </row>
    <row r="736" spans="8:9" ht="12.5">
      <c r="H736" s="14"/>
      <c r="I736" s="14"/>
    </row>
    <row r="737" spans="8:9" ht="12.5">
      <c r="H737" s="14"/>
      <c r="I737" s="14"/>
    </row>
    <row r="738" spans="8:9" ht="12.5">
      <c r="H738" s="14"/>
      <c r="I738" s="14"/>
    </row>
    <row r="739" spans="8:9" ht="12.5">
      <c r="H739" s="14"/>
      <c r="I739" s="14"/>
    </row>
    <row r="740" spans="8:9" ht="12.5">
      <c r="H740" s="14"/>
      <c r="I740" s="14"/>
    </row>
    <row r="741" spans="8:9" ht="12.5">
      <c r="H741" s="14"/>
      <c r="I741" s="14"/>
    </row>
    <row r="742" spans="8:9" ht="12.5">
      <c r="H742" s="14"/>
      <c r="I742" s="14"/>
    </row>
    <row r="743" spans="8:9" ht="12.5">
      <c r="H743" s="14"/>
      <c r="I743" s="14"/>
    </row>
    <row r="744" spans="8:9" ht="12.5">
      <c r="H744" s="14"/>
      <c r="I744" s="14"/>
    </row>
    <row r="745" spans="8:9" ht="12.5">
      <c r="H745" s="14"/>
      <c r="I745" s="14"/>
    </row>
    <row r="746" spans="8:9" ht="12.5">
      <c r="H746" s="14"/>
      <c r="I746" s="14"/>
    </row>
    <row r="747" spans="8:9" ht="12.5">
      <c r="H747" s="14"/>
      <c r="I747" s="14"/>
    </row>
    <row r="748" spans="8:9" ht="12.5">
      <c r="H748" s="14"/>
      <c r="I748" s="14"/>
    </row>
    <row r="749" spans="8:9" ht="12.5">
      <c r="H749" s="14"/>
      <c r="I749" s="14"/>
    </row>
    <row r="750" spans="8:9" ht="12.5">
      <c r="H750" s="14"/>
      <c r="I750" s="14"/>
    </row>
    <row r="751" spans="8:9" ht="12.5">
      <c r="H751" s="14"/>
      <c r="I751" s="14"/>
    </row>
    <row r="752" spans="8:9" ht="12.5">
      <c r="H752" s="14"/>
      <c r="I752" s="14"/>
    </row>
    <row r="753" spans="8:9" ht="12.5">
      <c r="H753" s="14"/>
      <c r="I753" s="14"/>
    </row>
    <row r="754" spans="8:9" ht="12.5">
      <c r="H754" s="14"/>
      <c r="I754" s="14"/>
    </row>
    <row r="755" spans="8:9" ht="12.5">
      <c r="H755" s="14"/>
      <c r="I755" s="14"/>
    </row>
    <row r="756" spans="8:9" ht="12.5">
      <c r="H756" s="14"/>
      <c r="I756" s="14"/>
    </row>
    <row r="757" spans="8:9" ht="12.5">
      <c r="H757" s="14"/>
      <c r="I757" s="14"/>
    </row>
    <row r="758" spans="8:9" ht="12.5">
      <c r="H758" s="14"/>
      <c r="I758" s="14"/>
    </row>
    <row r="759" spans="8:9" ht="12.5">
      <c r="H759" s="14"/>
      <c r="I759" s="14"/>
    </row>
    <row r="760" spans="8:9" ht="12.5">
      <c r="H760" s="14"/>
      <c r="I760" s="14"/>
    </row>
    <row r="761" spans="8:9" ht="12.5">
      <c r="H761" s="14"/>
      <c r="I761" s="14"/>
    </row>
    <row r="762" spans="8:9" ht="12.5">
      <c r="H762" s="14"/>
      <c r="I762" s="14"/>
    </row>
    <row r="763" spans="8:9" ht="12.5">
      <c r="H763" s="14"/>
      <c r="I763" s="14"/>
    </row>
    <row r="764" spans="8:9" ht="12.5">
      <c r="H764" s="14"/>
      <c r="I764" s="14"/>
    </row>
    <row r="765" spans="8:9" ht="12.5">
      <c r="H765" s="14"/>
      <c r="I765" s="14"/>
    </row>
    <row r="766" spans="8:9" ht="12.5">
      <c r="H766" s="14"/>
      <c r="I766" s="14"/>
    </row>
    <row r="767" spans="8:9" ht="12.5">
      <c r="H767" s="14"/>
      <c r="I767" s="14"/>
    </row>
    <row r="768" spans="8:9" ht="12.5">
      <c r="H768" s="14"/>
      <c r="I768" s="14"/>
    </row>
    <row r="769" spans="8:9" ht="12.5">
      <c r="H769" s="14"/>
      <c r="I769" s="14"/>
    </row>
    <row r="770" spans="8:9" ht="12.5">
      <c r="H770" s="14"/>
      <c r="I770" s="14"/>
    </row>
    <row r="771" spans="8:9" ht="12.5">
      <c r="H771" s="14"/>
      <c r="I771" s="14"/>
    </row>
    <row r="772" spans="8:9" ht="12.5">
      <c r="H772" s="14"/>
      <c r="I772" s="14"/>
    </row>
    <row r="773" spans="8:9" ht="12.5">
      <c r="H773" s="14"/>
      <c r="I773" s="14"/>
    </row>
    <row r="774" spans="8:9" ht="12.5">
      <c r="H774" s="14"/>
      <c r="I774" s="14"/>
    </row>
    <row r="775" spans="8:9" ht="12.5">
      <c r="H775" s="14"/>
      <c r="I775" s="14"/>
    </row>
    <row r="776" spans="8:9" ht="12.5">
      <c r="H776" s="14"/>
      <c r="I776" s="14"/>
    </row>
    <row r="777" spans="8:9" ht="12.5">
      <c r="H777" s="14"/>
      <c r="I777" s="14"/>
    </row>
    <row r="778" spans="8:9" ht="12.5">
      <c r="H778" s="14"/>
      <c r="I778" s="14"/>
    </row>
    <row r="779" spans="8:9" ht="12.5">
      <c r="H779" s="14"/>
      <c r="I779" s="14"/>
    </row>
    <row r="780" spans="8:9" ht="12.5">
      <c r="H780" s="14"/>
      <c r="I780" s="14"/>
    </row>
    <row r="781" spans="8:9" ht="12.5">
      <c r="H781" s="14"/>
      <c r="I781" s="14"/>
    </row>
    <row r="782" spans="8:9" ht="12.5">
      <c r="H782" s="14"/>
      <c r="I782" s="14"/>
    </row>
    <row r="783" spans="8:9" ht="12.5">
      <c r="H783" s="14"/>
      <c r="I783" s="14"/>
    </row>
    <row r="784" spans="8:9" ht="12.5">
      <c r="H784" s="14"/>
      <c r="I784" s="14"/>
    </row>
    <row r="785" spans="8:9" ht="12.5">
      <c r="H785" s="14"/>
      <c r="I785" s="14"/>
    </row>
    <row r="786" spans="8:9" ht="12.5">
      <c r="H786" s="14"/>
      <c r="I786" s="14"/>
    </row>
    <row r="787" spans="8:9" ht="12.5">
      <c r="H787" s="14"/>
      <c r="I787" s="14"/>
    </row>
    <row r="788" spans="8:9" ht="12.5">
      <c r="H788" s="14"/>
      <c r="I788" s="14"/>
    </row>
    <row r="789" spans="8:9" ht="12.5">
      <c r="H789" s="14"/>
      <c r="I789" s="14"/>
    </row>
    <row r="790" spans="8:9" ht="12.5">
      <c r="H790" s="14"/>
      <c r="I790" s="14"/>
    </row>
    <row r="791" spans="8:9" ht="12.5">
      <c r="H791" s="14"/>
      <c r="I791" s="14"/>
    </row>
    <row r="792" spans="8:9" ht="12.5">
      <c r="H792" s="14"/>
      <c r="I792" s="14"/>
    </row>
    <row r="793" spans="8:9" ht="12.5">
      <c r="H793" s="14"/>
      <c r="I793" s="14"/>
    </row>
    <row r="794" spans="8:9" ht="12.5">
      <c r="H794" s="14"/>
      <c r="I794" s="14"/>
    </row>
    <row r="795" spans="8:9" ht="12.5">
      <c r="H795" s="14"/>
      <c r="I795" s="14"/>
    </row>
    <row r="796" spans="8:9" ht="12.5">
      <c r="H796" s="14"/>
      <c r="I796" s="14"/>
    </row>
    <row r="797" spans="8:9" ht="12.5">
      <c r="H797" s="14"/>
      <c r="I797" s="14"/>
    </row>
    <row r="798" spans="8:9" ht="12.5">
      <c r="H798" s="14"/>
      <c r="I798" s="14"/>
    </row>
    <row r="799" spans="8:9" ht="12.5">
      <c r="H799" s="14"/>
      <c r="I799" s="14"/>
    </row>
    <row r="800" spans="8:9" ht="12.5">
      <c r="H800" s="14"/>
      <c r="I800" s="14"/>
    </row>
    <row r="801" spans="8:9" ht="12.5">
      <c r="H801" s="14"/>
      <c r="I801" s="14"/>
    </row>
    <row r="802" spans="8:9" ht="12.5">
      <c r="H802" s="14"/>
      <c r="I802" s="14"/>
    </row>
    <row r="803" spans="8:9" ht="12.5">
      <c r="H803" s="14"/>
      <c r="I803" s="14"/>
    </row>
    <row r="804" spans="8:9" ht="12.5">
      <c r="H804" s="14"/>
      <c r="I804" s="14"/>
    </row>
    <row r="805" spans="8:9" ht="12.5">
      <c r="H805" s="14"/>
      <c r="I805" s="14"/>
    </row>
    <row r="806" spans="8:9" ht="12.5">
      <c r="H806" s="14"/>
      <c r="I806" s="14"/>
    </row>
    <row r="807" spans="8:9" ht="12.5">
      <c r="H807" s="14"/>
      <c r="I807" s="14"/>
    </row>
    <row r="808" spans="8:9" ht="12.5">
      <c r="H808" s="14"/>
      <c r="I808" s="14"/>
    </row>
    <row r="809" spans="8:9" ht="12.5">
      <c r="H809" s="14"/>
      <c r="I809" s="14"/>
    </row>
    <row r="810" spans="8:9" ht="12.5">
      <c r="H810" s="14"/>
      <c r="I810" s="14"/>
    </row>
    <row r="811" spans="8:9" ht="12.5">
      <c r="H811" s="14"/>
      <c r="I811" s="14"/>
    </row>
    <row r="812" spans="8:9" ht="12.5">
      <c r="H812" s="14"/>
      <c r="I812" s="14"/>
    </row>
    <row r="813" spans="8:9" ht="12.5">
      <c r="H813" s="14"/>
      <c r="I813" s="14"/>
    </row>
    <row r="814" spans="8:9" ht="12.5">
      <c r="H814" s="14"/>
      <c r="I814" s="14"/>
    </row>
    <row r="815" spans="8:9" ht="12.5">
      <c r="H815" s="14"/>
      <c r="I815" s="14"/>
    </row>
    <row r="816" spans="8:9" ht="12.5">
      <c r="H816" s="14"/>
      <c r="I816" s="14"/>
    </row>
    <row r="817" spans="8:9" ht="12.5">
      <c r="H817" s="14"/>
      <c r="I817" s="14"/>
    </row>
    <row r="818" spans="8:9" ht="12.5">
      <c r="H818" s="14"/>
      <c r="I818" s="14"/>
    </row>
    <row r="819" spans="8:9" ht="12.5">
      <c r="H819" s="14"/>
      <c r="I819" s="14"/>
    </row>
    <row r="820" spans="8:9" ht="12.5">
      <c r="H820" s="14"/>
      <c r="I820" s="14"/>
    </row>
    <row r="821" spans="8:9" ht="12.5">
      <c r="H821" s="14"/>
      <c r="I821" s="14"/>
    </row>
    <row r="822" spans="8:9" ht="12.5">
      <c r="H822" s="14"/>
      <c r="I822" s="14"/>
    </row>
    <row r="823" spans="8:9" ht="12.5">
      <c r="H823" s="14"/>
      <c r="I823" s="14"/>
    </row>
    <row r="824" spans="8:9" ht="12.5">
      <c r="H824" s="14"/>
      <c r="I824" s="14"/>
    </row>
    <row r="825" spans="8:9" ht="12.5">
      <c r="H825" s="14"/>
      <c r="I825" s="14"/>
    </row>
    <row r="826" spans="8:9" ht="12.5">
      <c r="H826" s="14"/>
      <c r="I826" s="14"/>
    </row>
    <row r="827" spans="8:9" ht="12.5">
      <c r="H827" s="14"/>
      <c r="I827" s="14"/>
    </row>
    <row r="828" spans="8:9" ht="12.5">
      <c r="H828" s="14"/>
      <c r="I828" s="14"/>
    </row>
    <row r="829" spans="8:9" ht="12.5">
      <c r="H829" s="14"/>
      <c r="I829" s="14"/>
    </row>
    <row r="830" spans="8:9" ht="12.5">
      <c r="H830" s="14"/>
      <c r="I830" s="14"/>
    </row>
    <row r="831" spans="8:9" ht="12.5">
      <c r="H831" s="14"/>
      <c r="I831" s="14"/>
    </row>
    <row r="832" spans="8:9" ht="12.5">
      <c r="H832" s="14"/>
      <c r="I832" s="14"/>
    </row>
    <row r="833" spans="8:9" ht="12.5">
      <c r="H833" s="14"/>
      <c r="I833" s="14"/>
    </row>
    <row r="834" spans="8:9" ht="12.5">
      <c r="H834" s="14"/>
      <c r="I834" s="14"/>
    </row>
    <row r="835" spans="8:9" ht="12.5">
      <c r="H835" s="14"/>
      <c r="I835" s="14"/>
    </row>
    <row r="836" spans="8:9" ht="12.5">
      <c r="H836" s="14"/>
      <c r="I836" s="14"/>
    </row>
    <row r="837" spans="8:9" ht="12.5">
      <c r="H837" s="14"/>
      <c r="I837" s="14"/>
    </row>
    <row r="838" spans="8:9" ht="12.5">
      <c r="H838" s="14"/>
      <c r="I838" s="14"/>
    </row>
    <row r="839" spans="8:9" ht="12.5">
      <c r="H839" s="14"/>
      <c r="I839" s="14"/>
    </row>
    <row r="840" spans="8:9" ht="12.5">
      <c r="H840" s="14"/>
      <c r="I840" s="14"/>
    </row>
    <row r="841" spans="8:9" ht="12.5">
      <c r="H841" s="14"/>
      <c r="I841" s="14"/>
    </row>
    <row r="842" spans="8:9" ht="12.5">
      <c r="H842" s="14"/>
      <c r="I842" s="14"/>
    </row>
    <row r="843" spans="8:9" ht="12.5">
      <c r="H843" s="14"/>
      <c r="I843" s="14"/>
    </row>
    <row r="844" spans="8:9" ht="12.5">
      <c r="H844" s="14"/>
      <c r="I844" s="14"/>
    </row>
    <row r="845" spans="8:9" ht="12.5">
      <c r="H845" s="14"/>
      <c r="I845" s="14"/>
    </row>
    <row r="846" spans="8:9" ht="12.5">
      <c r="H846" s="14"/>
      <c r="I846" s="14"/>
    </row>
    <row r="847" spans="8:9" ht="12.5">
      <c r="H847" s="14"/>
      <c r="I847" s="14"/>
    </row>
    <row r="848" spans="8:9" ht="12.5">
      <c r="H848" s="14"/>
      <c r="I848" s="14"/>
    </row>
    <row r="849" spans="8:9" ht="12.5">
      <c r="H849" s="14"/>
      <c r="I849" s="14"/>
    </row>
    <row r="850" spans="8:9" ht="12.5">
      <c r="H850" s="14"/>
      <c r="I850" s="14"/>
    </row>
    <row r="851" spans="8:9" ht="12.5">
      <c r="H851" s="14"/>
      <c r="I851" s="14"/>
    </row>
    <row r="852" spans="8:9" ht="12.5">
      <c r="H852" s="14"/>
      <c r="I852" s="14"/>
    </row>
    <row r="853" spans="8:9" ht="12.5">
      <c r="H853" s="14"/>
      <c r="I853" s="14"/>
    </row>
    <row r="854" spans="8:9" ht="12.5">
      <c r="H854" s="14"/>
      <c r="I854" s="14"/>
    </row>
    <row r="855" spans="8:9" ht="12.5">
      <c r="H855" s="14"/>
      <c r="I855" s="14"/>
    </row>
    <row r="856" spans="8:9" ht="12.5">
      <c r="H856" s="14"/>
      <c r="I856" s="14"/>
    </row>
    <row r="857" spans="8:9" ht="12.5">
      <c r="H857" s="14"/>
      <c r="I857" s="14"/>
    </row>
    <row r="858" spans="8:9" ht="12.5">
      <c r="H858" s="14"/>
      <c r="I858" s="14"/>
    </row>
    <row r="859" spans="8:9" ht="12.5">
      <c r="H859" s="14"/>
      <c r="I859" s="14"/>
    </row>
    <row r="860" spans="8:9" ht="12.5">
      <c r="H860" s="14"/>
      <c r="I860" s="14"/>
    </row>
    <row r="861" spans="8:9" ht="12.5">
      <c r="H861" s="14"/>
      <c r="I861" s="14"/>
    </row>
    <row r="862" spans="8:9" ht="12.5">
      <c r="H862" s="14"/>
      <c r="I862" s="14"/>
    </row>
    <row r="863" spans="8:9" ht="12.5">
      <c r="H863" s="14"/>
      <c r="I863" s="14"/>
    </row>
    <row r="864" spans="8:9" ht="12.5">
      <c r="H864" s="14"/>
      <c r="I864" s="14"/>
    </row>
    <row r="865" spans="8:9" ht="12.5">
      <c r="H865" s="14"/>
      <c r="I865" s="14"/>
    </row>
    <row r="866" spans="8:9" ht="12.5">
      <c r="H866" s="14"/>
      <c r="I866" s="14"/>
    </row>
    <row r="867" spans="8:9" ht="12.5">
      <c r="H867" s="14"/>
      <c r="I867" s="14"/>
    </row>
    <row r="868" spans="8:9" ht="12.5">
      <c r="H868" s="14"/>
      <c r="I868" s="14"/>
    </row>
    <row r="869" spans="8:9" ht="12.5">
      <c r="H869" s="14"/>
      <c r="I869" s="14"/>
    </row>
    <row r="870" spans="8:9" ht="12.5">
      <c r="H870" s="14"/>
      <c r="I870" s="14"/>
    </row>
    <row r="871" spans="8:9" ht="12.5">
      <c r="H871" s="14"/>
      <c r="I871" s="14"/>
    </row>
    <row r="872" spans="8:9" ht="12.5">
      <c r="H872" s="14"/>
      <c r="I872" s="14"/>
    </row>
    <row r="873" spans="8:9" ht="12.5">
      <c r="H873" s="14"/>
      <c r="I873" s="14"/>
    </row>
    <row r="874" spans="8:9" ht="12.5">
      <c r="H874" s="14"/>
      <c r="I874" s="14"/>
    </row>
    <row r="875" spans="8:9" ht="12.5">
      <c r="H875" s="14"/>
      <c r="I875" s="14"/>
    </row>
    <row r="876" spans="8:9" ht="12.5">
      <c r="H876" s="14"/>
      <c r="I876" s="14"/>
    </row>
    <row r="877" spans="8:9" ht="12.5">
      <c r="H877" s="14"/>
      <c r="I877" s="14"/>
    </row>
    <row r="878" spans="8:9" ht="12.5">
      <c r="H878" s="14"/>
      <c r="I878" s="14"/>
    </row>
    <row r="879" spans="8:9" ht="12.5">
      <c r="H879" s="14"/>
      <c r="I879" s="14"/>
    </row>
    <row r="880" spans="8:9" ht="12.5">
      <c r="H880" s="14"/>
      <c r="I880" s="14"/>
    </row>
    <row r="881" spans="8:9" ht="12.5">
      <c r="H881" s="14"/>
      <c r="I881" s="14"/>
    </row>
    <row r="882" spans="8:9" ht="12.5">
      <c r="H882" s="14"/>
      <c r="I882" s="14"/>
    </row>
    <row r="883" spans="8:9" ht="12.5">
      <c r="H883" s="14"/>
      <c r="I883" s="14"/>
    </row>
    <row r="884" spans="8:9" ht="12.5">
      <c r="H884" s="14"/>
      <c r="I884" s="14"/>
    </row>
    <row r="885" spans="8:9" ht="12.5">
      <c r="H885" s="14"/>
      <c r="I885" s="14"/>
    </row>
    <row r="886" spans="8:9" ht="12.5">
      <c r="H886" s="14"/>
      <c r="I886" s="14"/>
    </row>
    <row r="887" spans="8:9" ht="12.5">
      <c r="H887" s="14"/>
      <c r="I887" s="14"/>
    </row>
    <row r="888" spans="8:9" ht="12.5">
      <c r="H888" s="14"/>
      <c r="I888" s="14"/>
    </row>
    <row r="889" spans="8:9" ht="12.5">
      <c r="H889" s="14"/>
      <c r="I889" s="14"/>
    </row>
    <row r="890" spans="8:9" ht="12.5">
      <c r="H890" s="14"/>
      <c r="I890" s="14"/>
    </row>
    <row r="891" spans="8:9" ht="12.5">
      <c r="H891" s="14"/>
      <c r="I891" s="14"/>
    </row>
    <row r="892" spans="8:9" ht="12.5">
      <c r="H892" s="14"/>
      <c r="I892" s="14"/>
    </row>
    <row r="893" spans="8:9" ht="12.5">
      <c r="H893" s="14"/>
      <c r="I893" s="14"/>
    </row>
    <row r="894" spans="8:9" ht="12.5">
      <c r="H894" s="14"/>
      <c r="I894" s="14"/>
    </row>
    <row r="895" spans="8:9" ht="12.5">
      <c r="H895" s="14"/>
      <c r="I895" s="14"/>
    </row>
    <row r="896" spans="8:9" ht="12.5">
      <c r="H896" s="14"/>
      <c r="I896" s="14"/>
    </row>
    <row r="897" spans="8:9" ht="12.5">
      <c r="H897" s="14"/>
      <c r="I897" s="14"/>
    </row>
    <row r="898" spans="8:9" ht="12.5">
      <c r="H898" s="14"/>
      <c r="I898" s="14"/>
    </row>
    <row r="899" spans="8:9" ht="12.5">
      <c r="H899" s="14"/>
      <c r="I899" s="14"/>
    </row>
    <row r="900" spans="8:9" ht="12.5">
      <c r="H900" s="14"/>
      <c r="I900" s="14"/>
    </row>
    <row r="901" spans="8:9" ht="12.5">
      <c r="H901" s="14"/>
      <c r="I901" s="14"/>
    </row>
    <row r="902" spans="8:9" ht="12.5">
      <c r="H902" s="14"/>
      <c r="I902" s="14"/>
    </row>
    <row r="903" spans="8:9" ht="12.5">
      <c r="H903" s="14"/>
      <c r="I903" s="14"/>
    </row>
    <row r="904" spans="8:9" ht="12.5">
      <c r="H904" s="14"/>
      <c r="I904" s="14"/>
    </row>
    <row r="905" spans="8:9" ht="12.5">
      <c r="H905" s="14"/>
      <c r="I905" s="14"/>
    </row>
    <row r="906" spans="8:9" ht="12.5">
      <c r="H906" s="14"/>
      <c r="I906" s="14"/>
    </row>
    <row r="907" spans="8:9" ht="12.5">
      <c r="H907" s="14"/>
      <c r="I907" s="14"/>
    </row>
    <row r="908" spans="8:9" ht="12.5">
      <c r="H908" s="14"/>
      <c r="I908" s="14"/>
    </row>
    <row r="909" spans="8:9" ht="12.5">
      <c r="H909" s="14"/>
      <c r="I909" s="14"/>
    </row>
    <row r="910" spans="8:9" ht="12.5">
      <c r="H910" s="14"/>
      <c r="I910" s="14"/>
    </row>
    <row r="911" spans="8:9" ht="12.5">
      <c r="H911" s="14"/>
      <c r="I911" s="14"/>
    </row>
    <row r="912" spans="8:9" ht="12.5">
      <c r="H912" s="14"/>
      <c r="I912" s="14"/>
    </row>
    <row r="913" spans="8:9" ht="12.5">
      <c r="H913" s="14"/>
      <c r="I913" s="14"/>
    </row>
    <row r="914" spans="8:9" ht="12.5">
      <c r="H914" s="14"/>
      <c r="I914" s="14"/>
    </row>
    <row r="915" spans="8:9" ht="12.5">
      <c r="H915" s="14"/>
      <c r="I915" s="14"/>
    </row>
    <row r="916" spans="8:9" ht="12.5">
      <c r="H916" s="14"/>
      <c r="I916" s="14"/>
    </row>
    <row r="917" spans="8:9" ht="12.5">
      <c r="H917" s="14"/>
      <c r="I917" s="14"/>
    </row>
    <row r="918" spans="8:9" ht="12.5">
      <c r="H918" s="14"/>
      <c r="I918" s="14"/>
    </row>
    <row r="919" spans="8:9" ht="12.5">
      <c r="H919" s="14"/>
      <c r="I919" s="14"/>
    </row>
    <row r="920" spans="8:9" ht="12.5">
      <c r="H920" s="14"/>
      <c r="I920" s="14"/>
    </row>
    <row r="921" spans="8:9" ht="12.5">
      <c r="H921" s="14"/>
      <c r="I921" s="14"/>
    </row>
    <row r="922" spans="8:9" ht="12.5">
      <c r="H922" s="14"/>
      <c r="I922" s="14"/>
    </row>
    <row r="923" spans="8:9" ht="12.5">
      <c r="H923" s="14"/>
      <c r="I923" s="14"/>
    </row>
    <row r="924" spans="8:9" ht="12.5">
      <c r="H924" s="14"/>
      <c r="I924" s="14"/>
    </row>
    <row r="925" spans="8:9" ht="12.5">
      <c r="H925" s="14"/>
      <c r="I925" s="14"/>
    </row>
    <row r="926" spans="8:9" ht="12.5">
      <c r="H926" s="14"/>
      <c r="I926" s="14"/>
    </row>
    <row r="927" spans="8:9" ht="12.5">
      <c r="H927" s="14"/>
      <c r="I927" s="14"/>
    </row>
    <row r="928" spans="8:9" ht="12.5">
      <c r="H928" s="14"/>
      <c r="I928" s="14"/>
    </row>
    <row r="929" spans="8:9" ht="12.5">
      <c r="H929" s="14"/>
      <c r="I929" s="14"/>
    </row>
    <row r="930" spans="8:9" ht="12.5">
      <c r="H930" s="14"/>
      <c r="I930" s="14"/>
    </row>
    <row r="931" spans="8:9" ht="12.5">
      <c r="H931" s="14"/>
      <c r="I931" s="14"/>
    </row>
    <row r="932" spans="8:9" ht="12.5">
      <c r="H932" s="14"/>
      <c r="I932" s="14"/>
    </row>
    <row r="933" spans="8:9" ht="12.5">
      <c r="H933" s="14"/>
      <c r="I933" s="14"/>
    </row>
    <row r="934" spans="8:9" ht="12.5">
      <c r="H934" s="14"/>
      <c r="I934" s="14"/>
    </row>
    <row r="935" spans="8:9" ht="12.5">
      <c r="H935" s="14"/>
      <c r="I935" s="14"/>
    </row>
    <row r="936" spans="8:9" ht="12.5">
      <c r="H936" s="14"/>
      <c r="I936" s="14"/>
    </row>
    <row r="937" spans="8:9" ht="12.5">
      <c r="H937" s="14"/>
      <c r="I937" s="14"/>
    </row>
    <row r="938" spans="8:9" ht="12.5">
      <c r="H938" s="14"/>
      <c r="I938" s="14"/>
    </row>
    <row r="939" spans="8:9" ht="12.5">
      <c r="H939" s="14"/>
      <c r="I939" s="14"/>
    </row>
    <row r="940" spans="8:9" ht="12.5">
      <c r="H940" s="14"/>
      <c r="I940" s="14"/>
    </row>
    <row r="941" spans="8:9" ht="12.5">
      <c r="H941" s="14"/>
      <c r="I941" s="14"/>
    </row>
    <row r="942" spans="8:9" ht="12.5">
      <c r="H942" s="14"/>
      <c r="I942" s="14"/>
    </row>
    <row r="943" spans="8:9" ht="12.5">
      <c r="H943" s="14"/>
      <c r="I943" s="14"/>
    </row>
    <row r="944" spans="8:9" ht="12.5">
      <c r="H944" s="14"/>
      <c r="I944" s="14"/>
    </row>
    <row r="945" spans="8:9" ht="12.5">
      <c r="H945" s="14"/>
      <c r="I945" s="14"/>
    </row>
    <row r="946" spans="8:9" ht="12.5">
      <c r="H946" s="14"/>
      <c r="I946" s="14"/>
    </row>
    <row r="947" spans="8:9" ht="12.5">
      <c r="H947" s="14"/>
      <c r="I947" s="14"/>
    </row>
    <row r="948" spans="8:9" ht="12.5">
      <c r="H948" s="14"/>
      <c r="I948" s="14"/>
    </row>
    <row r="949" spans="8:9" ht="12.5">
      <c r="H949" s="14"/>
      <c r="I949" s="14"/>
    </row>
    <row r="950" spans="8:9" ht="12.5">
      <c r="H950" s="14"/>
      <c r="I950" s="14"/>
    </row>
    <row r="951" spans="8:9" ht="12.5">
      <c r="H951" s="14"/>
      <c r="I951" s="14"/>
    </row>
    <row r="952" spans="8:9" ht="12.5">
      <c r="H952" s="14"/>
      <c r="I952" s="14"/>
    </row>
    <row r="953" spans="8:9" ht="12.5">
      <c r="H953" s="14"/>
      <c r="I953" s="14"/>
    </row>
    <row r="954" spans="8:9" ht="12.5">
      <c r="H954" s="14"/>
      <c r="I954" s="14"/>
    </row>
    <row r="955" spans="8:9" ht="12.5">
      <c r="H955" s="14"/>
      <c r="I955" s="14"/>
    </row>
    <row r="956" spans="8:9" ht="12.5">
      <c r="H956" s="14"/>
      <c r="I956" s="14"/>
    </row>
    <row r="957" spans="8:9" ht="12.5">
      <c r="H957" s="14"/>
      <c r="I957" s="14"/>
    </row>
    <row r="958" spans="8:9" ht="12.5">
      <c r="H958" s="14"/>
      <c r="I958" s="14"/>
    </row>
    <row r="959" spans="8:9" ht="12.5">
      <c r="H959" s="14"/>
      <c r="I959" s="14"/>
    </row>
    <row r="960" spans="8:9" ht="12.5">
      <c r="H960" s="14"/>
      <c r="I960" s="14"/>
    </row>
    <row r="961" spans="8:9" ht="12.5">
      <c r="H961" s="14"/>
      <c r="I961" s="14"/>
    </row>
    <row r="962" spans="8:9" ht="12.5">
      <c r="H962" s="14"/>
      <c r="I962" s="14"/>
    </row>
    <row r="963" spans="8:9" ht="12.5">
      <c r="H963" s="14"/>
      <c r="I963" s="14"/>
    </row>
    <row r="964" spans="8:9" ht="12.5">
      <c r="H964" s="14"/>
      <c r="I964" s="14"/>
    </row>
    <row r="965" spans="8:9" ht="12.5">
      <c r="H965" s="14"/>
      <c r="I965" s="14"/>
    </row>
    <row r="966" spans="8:9" ht="12.5">
      <c r="H966" s="14"/>
      <c r="I966" s="14"/>
    </row>
    <row r="967" spans="8:9" ht="12.5">
      <c r="H967" s="14"/>
      <c r="I967" s="14"/>
    </row>
    <row r="968" spans="8:9" ht="12.5">
      <c r="H968" s="14"/>
      <c r="I968" s="14"/>
    </row>
    <row r="969" spans="8:9" ht="12.5">
      <c r="H969" s="14"/>
      <c r="I969" s="14"/>
    </row>
    <row r="970" spans="8:9" ht="12.5">
      <c r="H970" s="14"/>
      <c r="I970" s="14"/>
    </row>
    <row r="971" spans="8:9" ht="12.5">
      <c r="H971" s="14"/>
      <c r="I971" s="14"/>
    </row>
    <row r="972" spans="8:9" ht="12.5">
      <c r="H972" s="14"/>
      <c r="I972" s="14"/>
    </row>
    <row r="973" spans="8:9" ht="12.5">
      <c r="H973" s="14"/>
      <c r="I973" s="14"/>
    </row>
    <row r="974" spans="8:9" ht="12.5">
      <c r="H974" s="14"/>
      <c r="I974" s="14"/>
    </row>
    <row r="975" spans="8:9" ht="12.5">
      <c r="H975" s="14"/>
      <c r="I975" s="14"/>
    </row>
    <row r="976" spans="8:9" ht="12.5">
      <c r="H976" s="14"/>
      <c r="I976" s="14"/>
    </row>
    <row r="977" spans="8:9" ht="12.5">
      <c r="H977" s="14"/>
      <c r="I977" s="14"/>
    </row>
    <row r="978" spans="8:9" ht="12.5">
      <c r="H978" s="14"/>
      <c r="I978" s="14"/>
    </row>
    <row r="979" spans="8:9" ht="12.5">
      <c r="H979" s="14"/>
      <c r="I979" s="14"/>
    </row>
    <row r="980" spans="8:9" ht="12.5">
      <c r="H980" s="14"/>
      <c r="I980" s="14"/>
    </row>
    <row r="981" spans="8:9" ht="12.5">
      <c r="H981" s="14"/>
      <c r="I981" s="14"/>
    </row>
    <row r="982" spans="8:9" ht="12.5">
      <c r="H982" s="14"/>
      <c r="I982" s="14"/>
    </row>
    <row r="983" spans="8:9" ht="12.5">
      <c r="H983" s="14"/>
      <c r="I983" s="14"/>
    </row>
    <row r="984" spans="8:9" ht="12.5">
      <c r="H984" s="14"/>
      <c r="I984" s="14"/>
    </row>
    <row r="985" spans="8:9" ht="12.5">
      <c r="H985" s="14"/>
      <c r="I985" s="14"/>
    </row>
    <row r="986" spans="8:9" ht="12.5">
      <c r="H986" s="14"/>
      <c r="I986" s="14"/>
    </row>
    <row r="987" spans="8:9" ht="12.5">
      <c r="H987" s="14"/>
      <c r="I987" s="14"/>
    </row>
    <row r="988" spans="8:9" ht="12.5">
      <c r="H988" s="14"/>
      <c r="I988" s="14"/>
    </row>
    <row r="989" spans="8:9" ht="12.5">
      <c r="H989" s="14"/>
      <c r="I989" s="14"/>
    </row>
    <row r="990" spans="8:9" ht="12.5">
      <c r="H990" s="14"/>
      <c r="I990" s="14"/>
    </row>
    <row r="991" spans="8:9" ht="12.5">
      <c r="H991" s="14"/>
      <c r="I991" s="14"/>
    </row>
    <row r="992" spans="8:9" ht="12.5">
      <c r="H992" s="14"/>
      <c r="I992" s="14"/>
    </row>
    <row r="993" spans="8:9" ht="12.5">
      <c r="H993" s="14"/>
      <c r="I993" s="14"/>
    </row>
    <row r="994" spans="8:9" ht="12.5">
      <c r="H994" s="14"/>
      <c r="I994" s="14"/>
    </row>
    <row r="995" spans="8:9" ht="12.5">
      <c r="H995" s="14"/>
      <c r="I995" s="14"/>
    </row>
    <row r="996" spans="8:9" ht="12.5">
      <c r="H996" s="14"/>
      <c r="I996" s="14"/>
    </row>
    <row r="997" spans="8:9" ht="12.5">
      <c r="I997" s="14"/>
    </row>
  </sheetData>
  <conditionalFormatting sqref="B3:D11">
    <cfRule type="expression" dxfId="1" priority="1">
      <formula>$D3=TRUE</formula>
    </cfRule>
    <cfRule type="expression" dxfId="0" priority="2">
      <formula>$C3=TRUE</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Main + Info</vt:lpstr>
      <vt:lpstr>Warframe</vt:lpstr>
      <vt:lpstr>Primary</vt:lpstr>
      <vt:lpstr>Secondary</vt:lpstr>
      <vt:lpstr>Melee</vt:lpstr>
      <vt:lpstr>Companion</vt:lpstr>
      <vt:lpstr>Vehicle</vt:lpstr>
      <vt:lpstr>AmpDrifter</vt:lpstr>
      <vt:lpstr>WF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Callum Wilkin</dc:creator>
  <cp:lastModifiedBy>Callum Wilkin</cp:lastModifiedBy>
  <dcterms:created xsi:type="dcterms:W3CDTF">2026-05-28T00:47:13Z</dcterms:created>
  <dcterms:modified xsi:type="dcterms:W3CDTF">2026-05-28T00:47:13Z</dcterms:modified>
</cp:coreProperties>
</file>